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A8DE86A-ABED-4B15-AD1F-33F39D2EB205}" xr6:coauthVersionLast="47" xr6:coauthVersionMax="47" xr10:uidLastSave="{00000000-0000-0000-0000-000000000000}"/>
  <bookViews>
    <workbookView xWindow="-108" yWindow="-108" windowWidth="23256" windowHeight="12456" activeTab="4" xr2:uid="{256038C5-BDB7-4EA2-98FA-66942853E678}"/>
  </bookViews>
  <sheets>
    <sheet name="Raw_Data" sheetId="1" r:id="rId1"/>
    <sheet name="Clean_Data" sheetId="2" r:id="rId2"/>
    <sheet name="HR_Pivot_Backend" sheetId="4" r:id="rId3"/>
    <sheet name="Dashborad_Source" sheetId="6" r:id="rId4"/>
    <sheet name="Analysis_Dashboard" sheetId="5" r:id="rId5"/>
  </sheets>
  <definedNames>
    <definedName name="ExternalData_1" localSheetId="1" hidden="1">Clean_Data!$A$1:$L$151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6" l="1"/>
  <c r="C1" i="6"/>
  <c r="B1" i="6"/>
  <c r="A1" i="6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M2" i="2"/>
  <c r="M3" i="2"/>
  <c r="M4" i="2"/>
  <c r="M5" i="2"/>
  <c r="M6" i="2"/>
  <c r="M7" i="2"/>
  <c r="M8" i="2"/>
  <c r="M9" i="2"/>
  <c r="M10" i="2"/>
  <c r="M11" i="2"/>
  <c r="N11" i="2" s="1"/>
  <c r="M12" i="2"/>
  <c r="N12" i="2" s="1"/>
  <c r="M13" i="2"/>
  <c r="N13" i="2" s="1"/>
  <c r="M14" i="2"/>
  <c r="M15" i="2"/>
  <c r="N15" i="2" s="1"/>
  <c r="M16" i="2"/>
  <c r="N16" i="2" s="1"/>
  <c r="M17" i="2"/>
  <c r="M18" i="2"/>
  <c r="M19" i="2"/>
  <c r="M20" i="2"/>
  <c r="M21" i="2"/>
  <c r="N21" i="2" s="1"/>
  <c r="M22" i="2"/>
  <c r="N22" i="2" s="1"/>
  <c r="M23" i="2"/>
  <c r="N23" i="2" s="1"/>
  <c r="M24" i="2"/>
  <c r="N24" i="2" s="1"/>
  <c r="M25" i="2"/>
  <c r="P25" i="2" s="1"/>
  <c r="M26" i="2"/>
  <c r="M27" i="2"/>
  <c r="M28" i="2"/>
  <c r="N28" i="2" s="1"/>
  <c r="M29" i="2"/>
  <c r="N29" i="2" s="1"/>
  <c r="M30" i="2"/>
  <c r="M31" i="2"/>
  <c r="M32" i="2"/>
  <c r="N32" i="2" s="1"/>
  <c r="M33" i="2"/>
  <c r="M34" i="2"/>
  <c r="M35" i="2"/>
  <c r="N35" i="2" s="1"/>
  <c r="M36" i="2"/>
  <c r="N36" i="2" s="1"/>
  <c r="M37" i="2"/>
  <c r="N37" i="2" s="1"/>
  <c r="M38" i="2"/>
  <c r="M39" i="2"/>
  <c r="M40" i="2"/>
  <c r="M41" i="2"/>
  <c r="M42" i="2"/>
  <c r="M43" i="2"/>
  <c r="M44" i="2"/>
  <c r="M45" i="2"/>
  <c r="M46" i="2"/>
  <c r="M47" i="2"/>
  <c r="N47" i="2" s="1"/>
  <c r="M48" i="2"/>
  <c r="N48" i="2" s="1"/>
  <c r="M49" i="2"/>
  <c r="N49" i="2" s="1"/>
  <c r="M50" i="2"/>
  <c r="M51" i="2"/>
  <c r="N51" i="2" s="1"/>
  <c r="M52" i="2"/>
  <c r="N52" i="2" s="1"/>
  <c r="M53" i="2"/>
  <c r="M54" i="2"/>
  <c r="M55" i="2"/>
  <c r="M56" i="2"/>
  <c r="M57" i="2"/>
  <c r="N57" i="2" s="1"/>
  <c r="M58" i="2"/>
  <c r="N58" i="2" s="1"/>
  <c r="M59" i="2"/>
  <c r="N59" i="2" s="1"/>
  <c r="M60" i="2"/>
  <c r="N60" i="2" s="1"/>
  <c r="M61" i="2"/>
  <c r="P61" i="2" s="1"/>
  <c r="M62" i="2"/>
  <c r="M63" i="2"/>
  <c r="M64" i="2"/>
  <c r="M65" i="2"/>
  <c r="N65" i="2" s="1"/>
  <c r="M66" i="2"/>
  <c r="N66" i="2" s="1"/>
  <c r="M67" i="2"/>
  <c r="M68" i="2"/>
  <c r="N68" i="2" s="1"/>
  <c r="M69" i="2"/>
  <c r="M70" i="2"/>
  <c r="N70" i="2" s="1"/>
  <c r="M71" i="2"/>
  <c r="N71" i="2" s="1"/>
  <c r="M72" i="2"/>
  <c r="N72" i="2" s="1"/>
  <c r="M73" i="2"/>
  <c r="N73" i="2" s="1"/>
  <c r="M74" i="2"/>
  <c r="M75" i="2"/>
  <c r="M76" i="2"/>
  <c r="M77" i="2"/>
  <c r="M78" i="2"/>
  <c r="M79" i="2"/>
  <c r="M80" i="2"/>
  <c r="M81" i="2"/>
  <c r="M82" i="2"/>
  <c r="M83" i="2"/>
  <c r="N83" i="2" s="1"/>
  <c r="M84" i="2"/>
  <c r="N84" i="2" s="1"/>
  <c r="M85" i="2"/>
  <c r="N85" i="2" s="1"/>
  <c r="M86" i="2"/>
  <c r="M87" i="2"/>
  <c r="N87" i="2" s="1"/>
  <c r="M88" i="2"/>
  <c r="N88" i="2" s="1"/>
  <c r="M89" i="2"/>
  <c r="M90" i="2"/>
  <c r="M91" i="2"/>
  <c r="M92" i="2"/>
  <c r="N92" i="2" s="1"/>
  <c r="M93" i="2"/>
  <c r="N93" i="2" s="1"/>
  <c r="M94" i="2"/>
  <c r="N94" i="2" s="1"/>
  <c r="M95" i="2"/>
  <c r="N95" i="2" s="1"/>
  <c r="M96" i="2"/>
  <c r="N96" i="2" s="1"/>
  <c r="M97" i="2"/>
  <c r="P97" i="2" s="1"/>
  <c r="M98" i="2"/>
  <c r="M99" i="2"/>
  <c r="M100" i="2"/>
  <c r="N100" i="2" s="1"/>
  <c r="M101" i="2"/>
  <c r="N101" i="2" s="1"/>
  <c r="M102" i="2"/>
  <c r="M103" i="2"/>
  <c r="N103" i="2" s="1"/>
  <c r="M104" i="2"/>
  <c r="N104" i="2" s="1"/>
  <c r="M105" i="2"/>
  <c r="M106" i="2"/>
  <c r="M107" i="2"/>
  <c r="N107" i="2" s="1"/>
  <c r="M108" i="2"/>
  <c r="N108" i="2" s="1"/>
  <c r="M109" i="2"/>
  <c r="N109" i="2" s="1"/>
  <c r="M110" i="2"/>
  <c r="M111" i="2"/>
  <c r="M112" i="2"/>
  <c r="M113" i="2"/>
  <c r="M114" i="2"/>
  <c r="M115" i="2"/>
  <c r="M116" i="2"/>
  <c r="M117" i="2"/>
  <c r="N117" i="2" s="1"/>
  <c r="M118" i="2"/>
  <c r="M119" i="2"/>
  <c r="N119" i="2" s="1"/>
  <c r="M120" i="2"/>
  <c r="N120" i="2" s="1"/>
  <c r="M121" i="2"/>
  <c r="N121" i="2" s="1"/>
  <c r="M122" i="2"/>
  <c r="M123" i="2"/>
  <c r="N123" i="2" s="1"/>
  <c r="M124" i="2"/>
  <c r="N124" i="2" s="1"/>
  <c r="M125" i="2"/>
  <c r="M126" i="2"/>
  <c r="M127" i="2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P133" i="2" s="1"/>
  <c r="M134" i="2"/>
  <c r="M135" i="2"/>
  <c r="M136" i="2"/>
  <c r="M137" i="2"/>
  <c r="N137" i="2" s="1"/>
  <c r="M138" i="2"/>
  <c r="N138" i="2" s="1"/>
  <c r="M139" i="2"/>
  <c r="N139" i="2" s="1"/>
  <c r="M140" i="2"/>
  <c r="N140" i="2" s="1"/>
  <c r="M141" i="2"/>
  <c r="M142" i="2"/>
  <c r="N142" i="2" s="1"/>
  <c r="M143" i="2"/>
  <c r="N143" i="2" s="1"/>
  <c r="M144" i="2"/>
  <c r="N144" i="2" s="1"/>
  <c r="M145" i="2"/>
  <c r="N145" i="2" s="1"/>
  <c r="M146" i="2"/>
  <c r="M147" i="2"/>
  <c r="M148" i="2"/>
  <c r="M149" i="2"/>
  <c r="M150" i="2"/>
  <c r="M151" i="2"/>
  <c r="N2" i="2"/>
  <c r="N3" i="2"/>
  <c r="N4" i="2"/>
  <c r="N5" i="2"/>
  <c r="N6" i="2"/>
  <c r="N7" i="2"/>
  <c r="N8" i="2"/>
  <c r="N9" i="2"/>
  <c r="N10" i="2"/>
  <c r="N14" i="2"/>
  <c r="N17" i="2"/>
  <c r="N18" i="2"/>
  <c r="N19" i="2"/>
  <c r="N20" i="2"/>
  <c r="N26" i="2"/>
  <c r="N27" i="2"/>
  <c r="N30" i="2"/>
  <c r="N31" i="2"/>
  <c r="N33" i="2"/>
  <c r="N34" i="2"/>
  <c r="N38" i="2"/>
  <c r="N39" i="2"/>
  <c r="N40" i="2"/>
  <c r="N41" i="2"/>
  <c r="N42" i="2"/>
  <c r="N43" i="2"/>
  <c r="N44" i="2"/>
  <c r="N45" i="2"/>
  <c r="N46" i="2"/>
  <c r="N50" i="2"/>
  <c r="N53" i="2"/>
  <c r="N54" i="2"/>
  <c r="N55" i="2"/>
  <c r="N56" i="2"/>
  <c r="N62" i="2"/>
  <c r="N63" i="2"/>
  <c r="N64" i="2"/>
  <c r="N67" i="2"/>
  <c r="N69" i="2"/>
  <c r="N74" i="2"/>
  <c r="N75" i="2"/>
  <c r="N76" i="2"/>
  <c r="N77" i="2"/>
  <c r="N78" i="2"/>
  <c r="N79" i="2"/>
  <c r="N80" i="2"/>
  <c r="N81" i="2"/>
  <c r="N82" i="2"/>
  <c r="N86" i="2"/>
  <c r="N89" i="2"/>
  <c r="N90" i="2"/>
  <c r="N91" i="2"/>
  <c r="N98" i="2"/>
  <c r="N99" i="2"/>
  <c r="N102" i="2"/>
  <c r="N105" i="2"/>
  <c r="N106" i="2"/>
  <c r="N110" i="2"/>
  <c r="N111" i="2"/>
  <c r="N112" i="2"/>
  <c r="N113" i="2"/>
  <c r="N114" i="2"/>
  <c r="N115" i="2"/>
  <c r="N116" i="2"/>
  <c r="N118" i="2"/>
  <c r="N122" i="2"/>
  <c r="N125" i="2"/>
  <c r="N126" i="2"/>
  <c r="N127" i="2"/>
  <c r="N134" i="2"/>
  <c r="N135" i="2"/>
  <c r="N136" i="2"/>
  <c r="N141" i="2"/>
  <c r="N146" i="2"/>
  <c r="N147" i="2"/>
  <c r="N148" i="2"/>
  <c r="N149" i="2"/>
  <c r="N150" i="2"/>
  <c r="N15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P2" i="2"/>
  <c r="P3" i="2"/>
  <c r="P4" i="2"/>
  <c r="P5" i="2"/>
  <c r="P6" i="2"/>
  <c r="P7" i="2"/>
  <c r="P8" i="2"/>
  <c r="P9" i="2"/>
  <c r="P10" i="2"/>
  <c r="P14" i="2"/>
  <c r="P15" i="2"/>
  <c r="P16" i="2"/>
  <c r="P17" i="2"/>
  <c r="P18" i="2"/>
  <c r="P19" i="2"/>
  <c r="P20" i="2"/>
  <c r="P21" i="2"/>
  <c r="P22" i="2"/>
  <c r="P26" i="2"/>
  <c r="P27" i="2"/>
  <c r="P28" i="2"/>
  <c r="P29" i="2"/>
  <c r="P30" i="2"/>
  <c r="P31" i="2"/>
  <c r="P32" i="2"/>
  <c r="P33" i="2"/>
  <c r="P34" i="2"/>
  <c r="P37" i="2"/>
  <c r="P38" i="2"/>
  <c r="P39" i="2"/>
  <c r="P40" i="2"/>
  <c r="P41" i="2"/>
  <c r="P42" i="2"/>
  <c r="P43" i="2"/>
  <c r="P44" i="2"/>
  <c r="P45" i="2"/>
  <c r="P46" i="2"/>
  <c r="P49" i="2"/>
  <c r="P50" i="2"/>
  <c r="P51" i="2"/>
  <c r="P52" i="2"/>
  <c r="P53" i="2"/>
  <c r="P54" i="2"/>
  <c r="P55" i="2"/>
  <c r="P56" i="2"/>
  <c r="P57" i="2"/>
  <c r="P58" i="2"/>
  <c r="P62" i="2"/>
  <c r="P63" i="2"/>
  <c r="P64" i="2"/>
  <c r="P65" i="2"/>
  <c r="P66" i="2"/>
  <c r="P67" i="2"/>
  <c r="P68" i="2"/>
  <c r="P69" i="2"/>
  <c r="P70" i="2"/>
  <c r="P74" i="2"/>
  <c r="P75" i="2"/>
  <c r="P76" i="2"/>
  <c r="P77" i="2"/>
  <c r="P78" i="2"/>
  <c r="P79" i="2"/>
  <c r="P80" i="2"/>
  <c r="P81" i="2"/>
  <c r="P82" i="2"/>
  <c r="P86" i="2"/>
  <c r="P87" i="2"/>
  <c r="P88" i="2"/>
  <c r="P89" i="2"/>
  <c r="P90" i="2"/>
  <c r="P91" i="2"/>
  <c r="P92" i="2"/>
  <c r="P93" i="2"/>
  <c r="P94" i="2"/>
  <c r="P98" i="2"/>
  <c r="P99" i="2"/>
  <c r="P100" i="2"/>
  <c r="P101" i="2"/>
  <c r="P102" i="2"/>
  <c r="P103" i="2"/>
  <c r="P104" i="2"/>
  <c r="P105" i="2"/>
  <c r="P106" i="2"/>
  <c r="P109" i="2"/>
  <c r="P110" i="2"/>
  <c r="P111" i="2"/>
  <c r="P112" i="2"/>
  <c r="P113" i="2"/>
  <c r="P114" i="2"/>
  <c r="P115" i="2"/>
  <c r="P116" i="2"/>
  <c r="P117" i="2"/>
  <c r="P118" i="2"/>
  <c r="P121" i="2"/>
  <c r="P122" i="2"/>
  <c r="P123" i="2"/>
  <c r="P124" i="2"/>
  <c r="P125" i="2"/>
  <c r="P126" i="2"/>
  <c r="P127" i="2"/>
  <c r="P128" i="2"/>
  <c r="P129" i="2"/>
  <c r="P130" i="2"/>
  <c r="P134" i="2"/>
  <c r="P135" i="2"/>
  <c r="P136" i="2"/>
  <c r="P137" i="2"/>
  <c r="P138" i="2"/>
  <c r="P139" i="2"/>
  <c r="P140" i="2"/>
  <c r="P141" i="2"/>
  <c r="P142" i="2"/>
  <c r="P146" i="2"/>
  <c r="P147" i="2"/>
  <c r="P148" i="2"/>
  <c r="P149" i="2"/>
  <c r="P150" i="2"/>
  <c r="P15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E2" i="4"/>
  <c r="N97" i="2" l="1"/>
  <c r="N61" i="2"/>
  <c r="N25" i="2"/>
  <c r="N133" i="2"/>
  <c r="P145" i="2"/>
  <c r="P73" i="2"/>
  <c r="P85" i="2"/>
  <c r="P13" i="2"/>
  <c r="P144" i="2"/>
  <c r="P132" i="2"/>
  <c r="P120" i="2"/>
  <c r="P108" i="2"/>
  <c r="P96" i="2"/>
  <c r="P84" i="2"/>
  <c r="P72" i="2"/>
  <c r="P60" i="2"/>
  <c r="P48" i="2"/>
  <c r="P36" i="2"/>
  <c r="P24" i="2"/>
  <c r="P12" i="2"/>
  <c r="P143" i="2"/>
  <c r="P131" i="2"/>
  <c r="P119" i="2"/>
  <c r="P107" i="2"/>
  <c r="P95" i="2"/>
  <c r="P83" i="2"/>
  <c r="P71" i="2"/>
  <c r="P59" i="2"/>
  <c r="P47" i="2"/>
  <c r="P35" i="2"/>
  <c r="P23" i="2"/>
  <c r="P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B17102-F024-44B2-BF5B-8C9E5B69905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<sst xmlns="http://schemas.openxmlformats.org/spreadsheetml/2006/main" count="2300" uniqueCount="531">
  <si>
    <t>Employee_ID</t>
  </si>
  <si>
    <t>Employee_Name</t>
  </si>
  <si>
    <t>Gender</t>
  </si>
  <si>
    <t>Date_of_Birth</t>
  </si>
  <si>
    <t>Join_Date</t>
  </si>
  <si>
    <t>Exit_Date</t>
  </si>
  <si>
    <t>Department</t>
  </si>
  <si>
    <t>Job_Level</t>
  </si>
  <si>
    <t>Location</t>
  </si>
  <si>
    <t>Employment_Type</t>
  </si>
  <si>
    <t>Monthly_Salary</t>
  </si>
  <si>
    <t>Exit_Reason</t>
  </si>
  <si>
    <t>EMP001</t>
  </si>
  <si>
    <t>Rahul Sharma</t>
  </si>
  <si>
    <t>Male</t>
  </si>
  <si>
    <t>Sales</t>
  </si>
  <si>
    <t>Executive</t>
  </si>
  <si>
    <t>Delhi</t>
  </si>
  <si>
    <t>Full-Time</t>
  </si>
  <si>
    <t>EMP002</t>
  </si>
  <si>
    <t>Anita Verma</t>
  </si>
  <si>
    <t>Female</t>
  </si>
  <si>
    <t>HR</t>
  </si>
  <si>
    <t>Senior Executive</t>
  </si>
  <si>
    <t>Bangalore</t>
  </si>
  <si>
    <t>Personal Reasons</t>
  </si>
  <si>
    <t>EMP003</t>
  </si>
  <si>
    <t>Suresh Kumar</t>
  </si>
  <si>
    <t>IT</t>
  </si>
  <si>
    <t>Manager</t>
  </si>
  <si>
    <t>Chennai</t>
  </si>
  <si>
    <t>EMP004</t>
  </si>
  <si>
    <t>Priya Nair</t>
  </si>
  <si>
    <t>Finance</t>
  </si>
  <si>
    <t>Kochi</t>
  </si>
  <si>
    <t>EMP005</t>
  </si>
  <si>
    <t>Amit Singh</t>
  </si>
  <si>
    <t>Better Opportunity</t>
  </si>
  <si>
    <t>EMP006</t>
  </si>
  <si>
    <t>Neha Patel</t>
  </si>
  <si>
    <t>Ahmedabad</t>
  </si>
  <si>
    <t>EMP007</t>
  </si>
  <si>
    <t>Rohit Iyer</t>
  </si>
  <si>
    <t>Operations</t>
  </si>
  <si>
    <t>Senior Manager</t>
  </si>
  <si>
    <t>Mumbai</t>
  </si>
  <si>
    <t>EMP008</t>
  </si>
  <si>
    <t>Kavya Rao</t>
  </si>
  <si>
    <t>Contract</t>
  </si>
  <si>
    <t>EMP009</t>
  </si>
  <si>
    <t>Manoj Das</t>
  </si>
  <si>
    <t>Kolkata</t>
  </si>
  <si>
    <t>Performance Issues</t>
  </si>
  <si>
    <t>EMP010</t>
  </si>
  <si>
    <t>Deepa Menon</t>
  </si>
  <si>
    <t>EMP011</t>
  </si>
  <si>
    <t>Arjun Mehta</t>
  </si>
  <si>
    <t>Pune</t>
  </si>
  <si>
    <t>EMP012</t>
  </si>
  <si>
    <t>Pooja Kulkarni</t>
  </si>
  <si>
    <t>EMP013</t>
  </si>
  <si>
    <t>Vikram Rao</t>
  </si>
  <si>
    <t>Hyderabad</t>
  </si>
  <si>
    <t>EMP014</t>
  </si>
  <si>
    <t>Sneha Joseph</t>
  </si>
  <si>
    <t>Trivandrum</t>
  </si>
  <si>
    <t>EMP015</t>
  </si>
  <si>
    <t>Karthik S</t>
  </si>
  <si>
    <t>Higher Studies</t>
  </si>
  <si>
    <t>EMP016</t>
  </si>
  <si>
    <t>Aishwarya Iyer</t>
  </si>
  <si>
    <t>Coimbatore</t>
  </si>
  <si>
    <t>EMP017</t>
  </si>
  <si>
    <t>Ramesh Babu</t>
  </si>
  <si>
    <t>EMP018</t>
  </si>
  <si>
    <t>Nidhi Gupta</t>
  </si>
  <si>
    <t>Relocation</t>
  </si>
  <si>
    <t>EMP019</t>
  </si>
  <si>
    <t>Ajay Nair</t>
  </si>
  <si>
    <t>EMP020</t>
  </si>
  <si>
    <t>Meena Krishnan</t>
  </si>
  <si>
    <t>EMP021</t>
  </si>
  <si>
    <t>Santosh Patil</t>
  </si>
  <si>
    <t>EMP022</t>
  </si>
  <si>
    <t>Ritu Malhotra</t>
  </si>
  <si>
    <t>Gurgaon</t>
  </si>
  <si>
    <t>EMP023</t>
  </si>
  <si>
    <t>Arvind Kumar</t>
  </si>
  <si>
    <t>Director</t>
  </si>
  <si>
    <t>EMP024</t>
  </si>
  <si>
    <t>Shruti Jain</t>
  </si>
  <si>
    <t>Jaipur</t>
  </si>
  <si>
    <t>EMP025</t>
  </si>
  <si>
    <t>Naveen Reddy</t>
  </si>
  <si>
    <t>EMP026</t>
  </si>
  <si>
    <t>Pallavi Deshmukh</t>
  </si>
  <si>
    <t>Nagpur</t>
  </si>
  <si>
    <t>Health Reasons</t>
  </si>
  <si>
    <t>EMP027</t>
  </si>
  <si>
    <t>Mohan Lal</t>
  </si>
  <si>
    <t>EMP028</t>
  </si>
  <si>
    <t>Ishita Roy</t>
  </si>
  <si>
    <t>EMP029</t>
  </si>
  <si>
    <t>Prakash M</t>
  </si>
  <si>
    <t>EMP030</t>
  </si>
  <si>
    <t>Keerthi S</t>
  </si>
  <si>
    <t>EMP031</t>
  </si>
  <si>
    <t>Suraj Yadav</t>
  </si>
  <si>
    <t>Indore</t>
  </si>
  <si>
    <t>EMP032</t>
  </si>
  <si>
    <t>Lakshmi Narayanan</t>
  </si>
  <si>
    <t>Work-Life Balance</t>
  </si>
  <si>
    <t>EMP033</t>
  </si>
  <si>
    <t>Harish V</t>
  </si>
  <si>
    <t>EMP034</t>
  </si>
  <si>
    <t>Radhika Menon</t>
  </si>
  <si>
    <t>EMP035</t>
  </si>
  <si>
    <t>Dinesh Kumar</t>
  </si>
  <si>
    <t>EMP036</t>
  </si>
  <si>
    <t>Tanvi Shah</t>
  </si>
  <si>
    <t>Surat</t>
  </si>
  <si>
    <t>EMP037</t>
  </si>
  <si>
    <t>Sekar P</t>
  </si>
  <si>
    <t>EMP038</t>
  </si>
  <si>
    <t>Priyanshi Agarwal</t>
  </si>
  <si>
    <t>Noida</t>
  </si>
  <si>
    <t>EMP039</t>
  </si>
  <si>
    <t>Rajiv Malhotra</t>
  </si>
  <si>
    <t>EMP040</t>
  </si>
  <si>
    <t>Sowmya R</t>
  </si>
  <si>
    <t>EMP041</t>
  </si>
  <si>
    <t>Kiran Joshi</t>
  </si>
  <si>
    <t>EMP042</t>
  </si>
  <si>
    <t>Anjali Kapoor</t>
  </si>
  <si>
    <t>EMP043</t>
  </si>
  <si>
    <t>Sunil Pawar</t>
  </si>
  <si>
    <t>EMP044</t>
  </si>
  <si>
    <t>Megha Sinha</t>
  </si>
  <si>
    <t>EMP045</t>
  </si>
  <si>
    <t>Sandeep R</t>
  </si>
  <si>
    <t>EMP046</t>
  </si>
  <si>
    <t>Priyanka Das</t>
  </si>
  <si>
    <t>EMP047</t>
  </si>
  <si>
    <t>Nitin Malviya</t>
  </si>
  <si>
    <t>EMP048</t>
  </si>
  <si>
    <t>Aparna Pillai</t>
  </si>
  <si>
    <t>EMP049</t>
  </si>
  <si>
    <t>Rahul Khanna</t>
  </si>
  <si>
    <t>EMP050</t>
  </si>
  <si>
    <t>Pallav Ghosh</t>
  </si>
  <si>
    <t>EMP051</t>
  </si>
  <si>
    <t>Shraddha Kulkarni</t>
  </si>
  <si>
    <t>Nashik</t>
  </si>
  <si>
    <t>EMP052</t>
  </si>
  <si>
    <t>Deepak Choudhary</t>
  </si>
  <si>
    <t>Jodhpur</t>
  </si>
  <si>
    <t>EMP053</t>
  </si>
  <si>
    <t>Swetha R</t>
  </si>
  <si>
    <t>EMP054</t>
  </si>
  <si>
    <t>Vivek Mishra</t>
  </si>
  <si>
    <t>Kanpur</t>
  </si>
  <si>
    <t>EMP055</t>
  </si>
  <si>
    <t>Ritu Saxena</t>
  </si>
  <si>
    <t>EMP056</t>
  </si>
  <si>
    <t>Manish Jain</t>
  </si>
  <si>
    <t>Udaipur</t>
  </si>
  <si>
    <t>EMP057</t>
  </si>
  <si>
    <t>Pooja N</t>
  </si>
  <si>
    <t>EMP058</t>
  </si>
  <si>
    <t>Ashok Verma</t>
  </si>
  <si>
    <t>EMP059</t>
  </si>
  <si>
    <t>Isha Banerjee</t>
  </si>
  <si>
    <t>EMP060</t>
  </si>
  <si>
    <t>Raghav Arora</t>
  </si>
  <si>
    <t>EMP061</t>
  </si>
  <si>
    <t>Divya S</t>
  </si>
  <si>
    <t>EMP062</t>
  </si>
  <si>
    <t>Sachin Kulkarni</t>
  </si>
  <si>
    <t>EMP063</t>
  </si>
  <si>
    <t>Neelam Yadav</t>
  </si>
  <si>
    <t>EMP064</t>
  </si>
  <si>
    <t>Tarun Bhat</t>
  </si>
  <si>
    <t>EMP065</t>
  </si>
  <si>
    <t>Kavita Shetty</t>
  </si>
  <si>
    <t>Mangalore</t>
  </si>
  <si>
    <t>EMP066</t>
  </si>
  <si>
    <t>Rajesh K</t>
  </si>
  <si>
    <t>EMP067</t>
  </si>
  <si>
    <t>Sonal Agarwal</t>
  </si>
  <si>
    <t>Agra</t>
  </si>
  <si>
    <t>EMP068</t>
  </si>
  <si>
    <t>Pranav Kulkarni</t>
  </si>
  <si>
    <t>Kolhapur</t>
  </si>
  <si>
    <t>EMP069</t>
  </si>
  <si>
    <t>Madhuri Patil</t>
  </si>
  <si>
    <t>EMP070</t>
  </si>
  <si>
    <t>Aakash Tiwari</t>
  </si>
  <si>
    <t>Bhopal</t>
  </si>
  <si>
    <t>EMP071</t>
  </si>
  <si>
    <t>Nandini Rao</t>
  </si>
  <si>
    <t>EMP072</t>
  </si>
  <si>
    <t>Vikas Saini</t>
  </si>
  <si>
    <t>Meerut</t>
  </si>
  <si>
    <t>EMP073</t>
  </si>
  <si>
    <t>Preeti Malhotra</t>
  </si>
  <si>
    <t>EMP074</t>
  </si>
  <si>
    <t>Srinivas Reddy</t>
  </si>
  <si>
    <t>EMP075</t>
  </si>
  <si>
    <t>Aditi Chatterjee</t>
  </si>
  <si>
    <t>Durgapur</t>
  </si>
  <si>
    <t>EMP076</t>
  </si>
  <si>
    <t>Naveen Kumar</t>
  </si>
  <si>
    <t>Patna</t>
  </si>
  <si>
    <t>EMP077</t>
  </si>
  <si>
    <t>Priyal Shah</t>
  </si>
  <si>
    <t>EMP078</t>
  </si>
  <si>
    <t>Rohit Saxena</t>
  </si>
  <si>
    <t>EMP079</t>
  </si>
  <si>
    <t>Sushmita Sen</t>
  </si>
  <si>
    <t>EMP080</t>
  </si>
  <si>
    <t>Anand Prakash</t>
  </si>
  <si>
    <t>Ranchi</t>
  </si>
  <si>
    <t>EMP081</t>
  </si>
  <si>
    <t>Shalini Gupta</t>
  </si>
  <si>
    <t>EMP082</t>
  </si>
  <si>
    <t>Rohit Menon</t>
  </si>
  <si>
    <t>EMP083</t>
  </si>
  <si>
    <t>Kiranmai R</t>
  </si>
  <si>
    <t>Vijayawada</t>
  </si>
  <si>
    <t>EMP084</t>
  </si>
  <si>
    <t>Sameer Khan</t>
  </si>
  <si>
    <t>EMP085</t>
  </si>
  <si>
    <t>Pallavi Kulkarni</t>
  </si>
  <si>
    <t>Aurangabad</t>
  </si>
  <si>
    <t>EMP086</t>
  </si>
  <si>
    <t>Ajith Kumar</t>
  </si>
  <si>
    <t>EMP087</t>
  </si>
  <si>
    <t>Rhea Mukherjee</t>
  </si>
  <si>
    <t>EMP088</t>
  </si>
  <si>
    <t>Manoj Tiwari</t>
  </si>
  <si>
    <t>Gorakhpur</t>
  </si>
  <si>
    <t>EMP089</t>
  </si>
  <si>
    <t>Nikita Desai</t>
  </si>
  <si>
    <t>EMP090</t>
  </si>
  <si>
    <t>Abhishek S</t>
  </si>
  <si>
    <t>Mysore</t>
  </si>
  <si>
    <t>EMP091</t>
  </si>
  <si>
    <t>Aishwarya Kulkarni</t>
  </si>
  <si>
    <t>EMP092</t>
  </si>
  <si>
    <t>Rajeev Verma</t>
  </si>
  <si>
    <t>Varanasi</t>
  </si>
  <si>
    <t>EMP093</t>
  </si>
  <si>
    <t>Shweta Mishra</t>
  </si>
  <si>
    <t>Allahabad</t>
  </si>
  <si>
    <t>EMP094</t>
  </si>
  <si>
    <t>Kunal Mehta</t>
  </si>
  <si>
    <t>EMP095</t>
  </si>
  <si>
    <t>Ritika Jain</t>
  </si>
  <si>
    <t>EMP096</t>
  </si>
  <si>
    <t>Sanjay Rao</t>
  </si>
  <si>
    <t>Udupi</t>
  </si>
  <si>
    <t>EMP097</t>
  </si>
  <si>
    <t>Namrata Singh</t>
  </si>
  <si>
    <t>Lucknow</t>
  </si>
  <si>
    <t>EMP098</t>
  </si>
  <si>
    <t>Vinod Kumar</t>
  </si>
  <si>
    <t>Madurai</t>
  </si>
  <si>
    <t>EMP099</t>
  </si>
  <si>
    <t>Alka Verma</t>
  </si>
  <si>
    <t>Faridabad</t>
  </si>
  <si>
    <t>EMP100</t>
  </si>
  <si>
    <t>Rakesh Patel</t>
  </si>
  <si>
    <t>Vadodara</t>
  </si>
  <si>
    <t>EMP101</t>
  </si>
  <si>
    <t>Suresh Naidu</t>
  </si>
  <si>
    <t>Visakhapatnam</t>
  </si>
  <si>
    <t>EMP102</t>
  </si>
  <si>
    <t>Priyanka R</t>
  </si>
  <si>
    <t>EMP103</t>
  </si>
  <si>
    <t>Rahul Jain</t>
  </si>
  <si>
    <t>EMP104</t>
  </si>
  <si>
    <t>Sneha Kulkarni</t>
  </si>
  <si>
    <t>EMP105</t>
  </si>
  <si>
    <t>Manpreet Singh</t>
  </si>
  <si>
    <t>Amritsar</t>
  </si>
  <si>
    <t>EMP106</t>
  </si>
  <si>
    <t>Divya Agarwal</t>
  </si>
  <si>
    <t>EMP107</t>
  </si>
  <si>
    <t>Karthik R</t>
  </si>
  <si>
    <t>EMP108</t>
  </si>
  <si>
    <t>Renu Mishra</t>
  </si>
  <si>
    <t>EMP109</t>
  </si>
  <si>
    <t>Shyam Lal</t>
  </si>
  <si>
    <t>Alwar</t>
  </si>
  <si>
    <t>EMP110</t>
  </si>
  <si>
    <t>Nisha Verma</t>
  </si>
  <si>
    <t>EMP111</t>
  </si>
  <si>
    <t>Ajay Shekhar</t>
  </si>
  <si>
    <t>Raipur</t>
  </si>
  <si>
    <t>EMP112</t>
  </si>
  <si>
    <t>Pallavi Joshi</t>
  </si>
  <si>
    <t>Ujjain</t>
  </si>
  <si>
    <t>EMP113</t>
  </si>
  <si>
    <t>Sachin Deshpande</t>
  </si>
  <si>
    <t>Satara</t>
  </si>
  <si>
    <t>EMP114</t>
  </si>
  <si>
    <t>Aishwarya P</t>
  </si>
  <si>
    <t>Salem</t>
  </si>
  <si>
    <t>EMP115</t>
  </si>
  <si>
    <t>Venkatesh Reddy</t>
  </si>
  <si>
    <t>Nellore</t>
  </si>
  <si>
    <t>EMP116</t>
  </si>
  <si>
    <t>Neha Arora</t>
  </si>
  <si>
    <t>Ambala</t>
  </si>
  <si>
    <t>EMP117</t>
  </si>
  <si>
    <t>Rajeev Saxena</t>
  </si>
  <si>
    <t>Gwalior</t>
  </si>
  <si>
    <t>EMP118</t>
  </si>
  <si>
    <t>Kirti Malhotra</t>
  </si>
  <si>
    <t>Panipat</t>
  </si>
  <si>
    <t>EMP119</t>
  </si>
  <si>
    <t>Anil Kumar</t>
  </si>
  <si>
    <t>Warangal</t>
  </si>
  <si>
    <t>EMP120</t>
  </si>
  <si>
    <t>Sonal Trivedi</t>
  </si>
  <si>
    <t>Anand</t>
  </si>
  <si>
    <t>EMP121</t>
  </si>
  <si>
    <t>Pradeep Chauhan</t>
  </si>
  <si>
    <t>Shimla</t>
  </si>
  <si>
    <t>EMP122</t>
  </si>
  <si>
    <t>Megha Jain</t>
  </si>
  <si>
    <t>Jhansi</t>
  </si>
  <si>
    <t>EMP123</t>
  </si>
  <si>
    <t>Amit Kulkarni</t>
  </si>
  <si>
    <t>Solapur</t>
  </si>
  <si>
    <t>EMP124</t>
  </si>
  <si>
    <t>Pooja Rathore</t>
  </si>
  <si>
    <t>Dewas</t>
  </si>
  <si>
    <t>EMP125</t>
  </si>
  <si>
    <t>Sanjay Mishra</t>
  </si>
  <si>
    <t>Basti</t>
  </si>
  <si>
    <t>EMP126</t>
  </si>
  <si>
    <t>Ritika Bansal</t>
  </si>
  <si>
    <t>Rewari</t>
  </si>
  <si>
    <t>EMP127</t>
  </si>
  <si>
    <t>Manoj K</t>
  </si>
  <si>
    <t>Tiruppur</t>
  </si>
  <si>
    <t>EMP128</t>
  </si>
  <si>
    <t>Aditi Pandey</t>
  </si>
  <si>
    <t>Prayagraj</t>
  </si>
  <si>
    <t>EMP129</t>
  </si>
  <si>
    <t>Prakash Patil</t>
  </si>
  <si>
    <t>Sangli</t>
  </si>
  <si>
    <t>EMP130</t>
  </si>
  <si>
    <t>Swati Kulkarni</t>
  </si>
  <si>
    <t>EMP131</t>
  </si>
  <si>
    <t>Ravi Teja</t>
  </si>
  <si>
    <t>Guntur</t>
  </si>
  <si>
    <t>EMP132</t>
  </si>
  <si>
    <t>Ishani Ghosh</t>
  </si>
  <si>
    <t>Howrah</t>
  </si>
  <si>
    <t>EMP133</t>
  </si>
  <si>
    <t>Mukesh Yadav</t>
  </si>
  <si>
    <t>Ballia</t>
  </si>
  <si>
    <t>EMP134</t>
  </si>
  <si>
    <t>Shraddha Pawar</t>
  </si>
  <si>
    <t>Nanded</t>
  </si>
  <si>
    <t>EMP135</t>
  </si>
  <si>
    <t>Kiran Rao</t>
  </si>
  <si>
    <t>Rajahmundry</t>
  </si>
  <si>
    <t>EMP136</t>
  </si>
  <si>
    <t>Priyal Mehta</t>
  </si>
  <si>
    <t>Valsad</t>
  </si>
  <si>
    <t>EMP137</t>
  </si>
  <si>
    <t>Dilip Kumar</t>
  </si>
  <si>
    <t>Siwan</t>
  </si>
  <si>
    <t>EMP138</t>
  </si>
  <si>
    <t>Neetu Sharma</t>
  </si>
  <si>
    <t>Hisar</t>
  </si>
  <si>
    <t>EMP139</t>
  </si>
  <si>
    <t>Satish R</t>
  </si>
  <si>
    <t>Karur</t>
  </si>
  <si>
    <t>EMP140</t>
  </si>
  <si>
    <t>Saima Khan</t>
  </si>
  <si>
    <t>Moradabad</t>
  </si>
  <si>
    <t>EMP141</t>
  </si>
  <si>
    <t>Arun Pratap</t>
  </si>
  <si>
    <t>Chitrakoot</t>
  </si>
  <si>
    <t>EMP142</t>
  </si>
  <si>
    <t>Ruchi Verma</t>
  </si>
  <si>
    <t>Saharanpur</t>
  </si>
  <si>
    <t>EMP143</t>
  </si>
  <si>
    <t>Suresh B</t>
  </si>
  <si>
    <t>Erode</t>
  </si>
  <si>
    <t>EMP144</t>
  </si>
  <si>
    <t>Aakanksha Jain</t>
  </si>
  <si>
    <t>Ratlam</t>
  </si>
  <si>
    <t>EMP145</t>
  </si>
  <si>
    <t>Rameshwar Singh</t>
  </si>
  <si>
    <t>Rewa</t>
  </si>
  <si>
    <t>EMP146</t>
  </si>
  <si>
    <t>Komal Shah</t>
  </si>
  <si>
    <t>Navsari</t>
  </si>
  <si>
    <t>EMP147</t>
  </si>
  <si>
    <t>Naresh K</t>
  </si>
  <si>
    <t>Hosur</t>
  </si>
  <si>
    <t>EMP148</t>
  </si>
  <si>
    <t>Priya Kulkarni</t>
  </si>
  <si>
    <t>EMP149</t>
  </si>
  <si>
    <t>Rajesh Verma</t>
  </si>
  <si>
    <t>Bhadohi</t>
  </si>
  <si>
    <t>EMP150</t>
  </si>
  <si>
    <t>Aanchal Gupta</t>
  </si>
  <si>
    <t>Rohtak</t>
  </si>
  <si>
    <t>Employee_Status</t>
  </si>
  <si>
    <t>Attrition_Flag</t>
  </si>
  <si>
    <t>Active_Employee_Flag</t>
  </si>
  <si>
    <t>Tenure_Years</t>
  </si>
  <si>
    <t>Age_Years</t>
  </si>
  <si>
    <t>Join_Year</t>
  </si>
  <si>
    <t>Join_Month</t>
  </si>
  <si>
    <t>Exit_Year</t>
  </si>
  <si>
    <t>Exit_Month</t>
  </si>
  <si>
    <t>Is_Contract</t>
  </si>
  <si>
    <t>Average of Tenure_Years</t>
  </si>
  <si>
    <t>Attrition_Rate</t>
  </si>
  <si>
    <t>Attrition_Count</t>
  </si>
  <si>
    <t>Attrition_count</t>
  </si>
  <si>
    <t>Total_Employees_Count</t>
  </si>
  <si>
    <t>Active_Employees</t>
  </si>
  <si>
    <t>Total_Attrition_Count</t>
  </si>
  <si>
    <t>Total_Empolyees</t>
  </si>
  <si>
    <t>2009-10</t>
  </si>
  <si>
    <t>2009-11</t>
  </si>
  <si>
    <t>2010-05</t>
  </si>
  <si>
    <t>2010-10</t>
  </si>
  <si>
    <t>2011-03</t>
  </si>
  <si>
    <t>2011-05</t>
  </si>
  <si>
    <t>2012-02</t>
  </si>
  <si>
    <t>2012-03</t>
  </si>
  <si>
    <t>2012-10</t>
  </si>
  <si>
    <t>2014-01</t>
  </si>
  <si>
    <t>2014-03</t>
  </si>
  <si>
    <t>2014-05</t>
  </si>
  <si>
    <t>2014-07</t>
  </si>
  <si>
    <t>2014-08</t>
  </si>
  <si>
    <t>2014-09</t>
  </si>
  <si>
    <t>2015-01</t>
  </si>
  <si>
    <t>2015-05</t>
  </si>
  <si>
    <t>2015-07</t>
  </si>
  <si>
    <t>2015-09</t>
  </si>
  <si>
    <t>2015-11</t>
  </si>
  <si>
    <t>2016-01</t>
  </si>
  <si>
    <t>2016-02</t>
  </si>
  <si>
    <t>2016-04</t>
  </si>
  <si>
    <t>2016-05</t>
  </si>
  <si>
    <t>2016-07</t>
  </si>
  <si>
    <t>2016-08</t>
  </si>
  <si>
    <t>2016-10</t>
  </si>
  <si>
    <t>2016-11</t>
  </si>
  <si>
    <t>2016-12</t>
  </si>
  <si>
    <t>2017-02</t>
  </si>
  <si>
    <t>2017-03</t>
  </si>
  <si>
    <t>2017-04</t>
  </si>
  <si>
    <t>2017-06</t>
  </si>
  <si>
    <t>2017-07</t>
  </si>
  <si>
    <t>2017-09</t>
  </si>
  <si>
    <t>2017-12</t>
  </si>
  <si>
    <t>2018-01</t>
  </si>
  <si>
    <t>2018-02</t>
  </si>
  <si>
    <t>2018-03</t>
  </si>
  <si>
    <t>2018-04</t>
  </si>
  <si>
    <t>2018-06</t>
  </si>
  <si>
    <t>2018-08</t>
  </si>
  <si>
    <t>2018-10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</si>
  <si>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</si>
  <si>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</si>
  <si>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</si>
  <si>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</si>
  <si>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</si>
  <si>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</si>
  <si>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</si>
  <si>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</si>
  <si>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</si>
  <si>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</si>
  <si>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</si>
  <si>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</si>
  <si>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</si>
  <si>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</si>
  <si>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</si>
  <si>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</si>
  <si>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</si>
  <si>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</si>
  <si>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</si>
  <si>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</si>
  <si>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</si>
  <si>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2021-02</t>
  </si>
  <si>
    <t>2021-03</t>
  </si>
  <si>
    <t>2021-06</t>
  </si>
  <si>
    <t>2021-07</t>
  </si>
  <si>
    <t>2021-08</t>
  </si>
  <si>
    <t>2021-09</t>
  </si>
  <si>
    <t>2021-10</t>
  </si>
  <si>
    <t>2021-11</t>
  </si>
  <si>
    <t>2022-01</t>
  </si>
  <si>
    <t>2022-02</t>
  </si>
  <si>
    <t>2022-07</t>
  </si>
  <si>
    <t>2022-08</t>
  </si>
  <si>
    <t>2022-09</t>
  </si>
  <si>
    <t>2022-10</t>
  </si>
  <si>
    <t>Joiners</t>
  </si>
  <si>
    <t>Year/Month</t>
  </si>
  <si>
    <t>2022-06</t>
  </si>
  <si>
    <t>2022-12</t>
  </si>
  <si>
    <t>2023-01</t>
  </si>
  <si>
    <t>2023-02</t>
  </si>
  <si>
    <t>2023-03</t>
  </si>
  <si>
    <t>2023-05</t>
  </si>
  <si>
    <t>2023-11</t>
  </si>
  <si>
    <t>2024-01</t>
  </si>
  <si>
    <t>Leavers</t>
  </si>
  <si>
    <t>Total Employees</t>
  </si>
  <si>
    <t>Active Employees</t>
  </si>
  <si>
    <t>Total Attrition</t>
  </si>
  <si>
    <t>Attrition Rate</t>
  </si>
  <si>
    <t>Last refreshed on 06-Feb-2026</t>
  </si>
  <si>
    <t>Management Summary</t>
  </si>
  <si>
    <t>1. The main department which is getting affected by attrition is the Sales department</t>
  </si>
  <si>
    <t>2. Male employees contributes more in laveing the job</t>
  </si>
  <si>
    <t>3. However attrition rate is not spiking in past 3 years</t>
  </si>
  <si>
    <t>4. Targeted retention strategies for the Sales department, particularly for male employees, may help reduce future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</si>
</sst>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Rounded MT Bold"/>
      <family val="2"/>
    </font>
    <font>
      <sz val="22"/>
      <color theme="9" tint="-0.249977111117893"/>
      <name val="Calibri"/>
      <family val="2"/>
    </font>
    <font>
      <sz val="22"/>
      <color theme="8" tint="-0.249977111117893"/>
      <name val="Calibri"/>
      <family val="2"/>
    </font>
    <font>
      <sz val="22"/>
      <color rgb="FFC00000"/>
      <name val="Calibri"/>
      <family val="2"/>
    </font>
    <font>
      <sz val="22"/>
      <color theme="5" tint="-0.249977111117893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3366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project.xlsx]HR_Pivot_Backend!PivotTable2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85000"/>
                    <a:lumOff val="15000"/>
                  </a:schemeClr>
                </a:solidFill>
              </a:rPr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056946866126926"/>
          <c:y val="0.14168458781362006"/>
          <c:w val="0.84996649748823705"/>
          <c:h val="0.793088646177292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HR_Pivot_Backend!$B$10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4A5-43E8-B751-9767F2BE65F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28-4149-9C33-F10EF5F17B67}"/>
              </c:ext>
            </c:extLst>
          </c:dPt>
          <c:cat>
            <c:strRef>
              <c:f>HR_Pivot_Backend!$A$11:$A$15</c:f>
              <c:strCache>
                <c:ptCount val="5"/>
                <c:pt idx="0">
                  <c:v>Operations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Sales</c:v>
                </c:pt>
              </c:strCache>
            </c:strRef>
          </c:cat>
          <c:val>
            <c:numRef>
              <c:f>HR_Pivot_Backend!$B$11:$B$15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5-43E8-B751-9767F2BE6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7410032"/>
        <c:axId val="2097407152"/>
      </c:barChart>
      <c:catAx>
        <c:axId val="209741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407152"/>
        <c:crosses val="autoZero"/>
        <c:auto val="1"/>
        <c:lblAlgn val="ctr"/>
        <c:lblOffset val="100"/>
        <c:noMultiLvlLbl val="0"/>
      </c:catAx>
      <c:valAx>
        <c:axId val="209740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41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project.xlsx]HR_Pivot_Backend!PivotTable3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Attrition Distribution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50800" dist="50800" dir="5400000" algn="ctr" rotWithShape="0">
              <a:srgbClr val="000000">
                <a:alpha val="0"/>
              </a:srgb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50800" dir="5400000" algn="ctr" rotWithShape="0">
                <a:srgbClr val="000000">
                  <a:alpha val="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50800" dist="50800" dir="5400000" algn="ctr" rotWithShape="0">
              <a:srgbClr val="000000">
                <a:alpha val="0"/>
              </a:srgb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50800" dist="50800" dir="5400000" algn="ctr" rotWithShape="0">
              <a:srgbClr val="000000">
                <a:alpha val="0"/>
              </a:srgb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HR_Pivot_Backend!$B$24</c:f>
              <c:strCache>
                <c:ptCount val="1"/>
                <c:pt idx="0">
                  <c:v>Attrition_count</c:v>
                </c:pt>
              </c:strCache>
            </c:strRef>
          </c:tx>
          <c:spPr>
            <a:effectLst>
              <a:outerShdw blurRad="50800" dist="50800" dir="5400000" algn="ctr" rotWithShape="0">
                <a:srgbClr val="000000">
                  <a:alpha val="0"/>
                </a:srgb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56-4882-B3C2-143C2E8B9E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56-4882-B3C2-143C2E8B9E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HR_Pivot_Backend!$A$25:$A$26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HR_Pivot_Backend!$B$25:$B$26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6-4882-B3C2-143C2E8B9EDD}"/>
            </c:ext>
          </c:extLst>
        </c:ser>
        <c:ser>
          <c:idx val="1"/>
          <c:order val="1"/>
          <c:tx>
            <c:strRef>
              <c:f>HR_Pivot_Backend!$C$24</c:f>
              <c:strCache>
                <c:ptCount val="1"/>
                <c:pt idx="0">
                  <c:v>Total_Employees_Count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056-4882-B3C2-143C2E8B9E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056-4882-B3C2-143C2E8B9E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HR_Pivot_Backend!$A$25:$A$26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HR_Pivot_Backend!$C$25:$C$26</c:f>
              <c:numCache>
                <c:formatCode>General</c:formatCode>
                <c:ptCount val="2"/>
                <c:pt idx="0">
                  <c:v>74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56-4882-B3C2-143C2E8B9E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project.xlsx]HR_Pivot_Backend!PivotTable7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2">
                    <a:lumMod val="25000"/>
                  </a:schemeClr>
                </a:solidFill>
              </a:rPr>
              <a:t>Monthly Attrition Trend</a:t>
            </a:r>
            <a:endParaRPr lang="en-US" sz="1800" b="1">
              <a:solidFill>
                <a:schemeClr val="bg2">
                  <a:lumMod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HR_Pivot_Backend!$I$48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HR_Pivot_Backend!$H$49:$H$60</c:f>
              <c:strCache>
                <c:ptCount val="12"/>
                <c:pt idx="0">
                  <c:v>2021-06</c:v>
                </c:pt>
                <c:pt idx="1">
                  <c:v>2021-09</c:v>
                </c:pt>
                <c:pt idx="2">
                  <c:v>2022-06</c:v>
                </c:pt>
                <c:pt idx="3">
                  <c:v>2022-08</c:v>
                </c:pt>
                <c:pt idx="4">
                  <c:v>2022-10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2023-05</c:v>
                </c:pt>
                <c:pt idx="10">
                  <c:v>2023-11</c:v>
                </c:pt>
                <c:pt idx="11">
                  <c:v>2024-01</c:v>
                </c:pt>
              </c:strCache>
            </c:strRef>
          </c:cat>
          <c:val>
            <c:numRef>
              <c:f>HR_Pivot_Backend!$I$49:$I$60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2-4EA0-8E43-8FECEB9B7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9258191"/>
        <c:axId val="1349256751"/>
      </c:barChart>
      <c:catAx>
        <c:axId val="134925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56751"/>
        <c:crosses val="autoZero"/>
        <c:auto val="1"/>
        <c:lblAlgn val="ctr"/>
        <c:lblOffset val="150"/>
        <c:noMultiLvlLbl val="0"/>
      </c:catAx>
      <c:valAx>
        <c:axId val="1349256751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5819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281940</xdr:colOff>
      <xdr:row>13</xdr:row>
      <xdr:rowOff>220980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7AE1650-08D6-A579-E712-F28E4393A187}"/>
            </a:ext>
          </a:extLst>
        </xdr:cNvPr>
        <xdr:cNvSpPr txBox="1"/>
      </xdr:nvSpPr>
      <xdr:spPr>
        <a:xfrm>
          <a:off x="281940" y="220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0</xdr:row>
      <xdr:rowOff>128954</xdr:rowOff>
    </xdr:from>
    <xdr:to>
      <xdr:col>1</xdr:col>
      <xdr:colOff>122280</xdr:colOff>
      <xdr:row>2</xdr:row>
      <xdr:rowOff>131320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4D986B51-DF0D-085E-7D3A-BDD8E8F67FA4}"/>
            </a:ext>
          </a:extLst>
        </xdr:cNvPr>
        <xdr:cNvGrpSpPr/>
      </xdr:nvGrpSpPr>
      <xdr:grpSpPr>
        <a:xfrm>
          <a:off x="0" y="128954"/>
          <a:ext cx="1691104" cy="791260"/>
          <a:chOff x="0" y="128954"/>
          <a:chExt cx="1577340" cy="787226"/>
        </a:xfrm>
      </xdr:grpSpPr>
      <xdr:sp macro="" textlink="Dashborad_Source!A1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87DF3DCB-551E-D84C-2F17-C1FFED3746F5}"/>
              </a:ext>
            </a:extLst>
          </xdr:cNvPr>
          <xdr:cNvSpPr>
            <a:spLocks noChangeAspect="1"/>
          </xdr:cNvSpPr>
        </xdr:nvSpPr>
        <xdr:spPr>
          <a:xfrm>
            <a:off x="0" y="128954"/>
            <a:ext cx="1577340" cy="787226"/>
          </a:xfrm>
          <a:prstGeom prst="roundRect">
            <a:avLst>
              <a:gd name="adj" fmla="val 24272"/>
            </a:avLst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fld id="{A493AA54-7CD2-48DC-BC3D-B2F2349B90D5}" type="TxLink">
              <a:rPr lang="en-US" sz="24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r"/>
              <a:t>150</a:t>
            </a:fld>
            <a:endParaRPr lang="en-US" sz="2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C75B431F-78AE-4948-E970-06FF792A1A1B}"/>
              </a:ext>
            </a:extLst>
          </xdr:cNvPr>
          <xdr:cNvSpPr txBox="1"/>
        </xdr:nvSpPr>
        <xdr:spPr>
          <a:xfrm>
            <a:off x="128858" y="585812"/>
            <a:ext cx="1329582" cy="26436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N" sz="1100" b="1">
                <a:solidFill>
                  <a:schemeClr val="bg2">
                    <a:lumMod val="1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Employees</a:t>
            </a:r>
          </a:p>
        </xdr:txBody>
      </xdr:sp>
      <xdr:pic>
        <xdr:nvPicPr>
          <xdr:cNvPr id="26" name="Graphic 25" descr="Users with solid fill">
            <a:extLst>
              <a:ext uri="{FF2B5EF4-FFF2-40B4-BE49-F238E27FC236}">
                <a16:creationId xmlns:a16="http://schemas.microsoft.com/office/drawing/2014/main" id="{DC29CEA4-4EED-EE87-E212-6DC5DBAD50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2881" y="192829"/>
            <a:ext cx="456861" cy="45686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457200</xdr:colOff>
      <xdr:row>0</xdr:row>
      <xdr:rowOff>128953</xdr:rowOff>
    </xdr:from>
    <xdr:to>
      <xdr:col>3</xdr:col>
      <xdr:colOff>114300</xdr:colOff>
      <xdr:row>2</xdr:row>
      <xdr:rowOff>131319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46821E50-47A0-1FF5-F951-4610560A329D}"/>
            </a:ext>
          </a:extLst>
        </xdr:cNvPr>
        <xdr:cNvGrpSpPr/>
      </xdr:nvGrpSpPr>
      <xdr:grpSpPr>
        <a:xfrm>
          <a:off x="2026024" y="128953"/>
          <a:ext cx="1692088" cy="791260"/>
          <a:chOff x="2026920" y="128953"/>
          <a:chExt cx="1691640" cy="787226"/>
        </a:xfrm>
      </xdr:grpSpPr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1E498794-6349-B3A5-0AB7-E5A7BC7D0EF9}"/>
              </a:ext>
            </a:extLst>
          </xdr:cNvPr>
          <xdr:cNvGrpSpPr/>
        </xdr:nvGrpSpPr>
        <xdr:grpSpPr>
          <a:xfrm>
            <a:off x="2026920" y="128953"/>
            <a:ext cx="1691640" cy="787226"/>
            <a:chOff x="2026920" y="128953"/>
            <a:chExt cx="1691640" cy="787226"/>
          </a:xfrm>
          <a:solidFill>
            <a:schemeClr val="accent5">
              <a:lumMod val="60000"/>
              <a:lumOff val="40000"/>
            </a:schemeClr>
          </a:solidFill>
        </xdr:grpSpPr>
        <xdr:pic>
          <xdr:nvPicPr>
            <xdr:cNvPr id="9" name="Graphic 8" descr="Meeting with solid fill">
              <a:extLst>
                <a:ext uri="{FF2B5EF4-FFF2-40B4-BE49-F238E27FC236}">
                  <a16:creationId xmlns:a16="http://schemas.microsoft.com/office/drawing/2014/main" id="{8DB9AEE7-3B4C-11EB-58DE-2F581D1846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/>
          </xdr:blipFill>
          <xdr:spPr>
            <a:xfrm>
              <a:off x="2282721" y="128953"/>
              <a:ext cx="489966" cy="456860"/>
            </a:xfrm>
            <a:prstGeom prst="rect">
              <a:avLst/>
            </a:prstGeom>
          </xdr:spPr>
        </xdr:pic>
        <xdr:sp macro="" textlink="Dashborad_Source!B1">
          <xdr:nvSpPr>
            <xdr:cNvPr id="10" name="Rectangle: Rounded Corners 9">
              <a:extLst>
                <a:ext uri="{FF2B5EF4-FFF2-40B4-BE49-F238E27FC236}">
                  <a16:creationId xmlns:a16="http://schemas.microsoft.com/office/drawing/2014/main" id="{14ADE00F-9E95-82AE-FC61-64F993778D0D}"/>
                </a:ext>
              </a:extLst>
            </xdr:cNvPr>
            <xdr:cNvSpPr>
              <a:spLocks noChangeAspect="1"/>
            </xdr:cNvSpPr>
          </xdr:nvSpPr>
          <xdr:spPr>
            <a:xfrm>
              <a:off x="2026920" y="128953"/>
              <a:ext cx="1691640" cy="787226"/>
            </a:xfrm>
            <a:prstGeom prst="roundRect">
              <a:avLst>
                <a:gd name="adj" fmla="val 24272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/>
              <a:fld id="{E80BEB36-8364-4CCA-8D91-8FD03945909D}" type="TxLink">
                <a:rPr lang="en-US" sz="24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algn="r"/>
                <a:t>138</a:t>
              </a:fld>
              <a:endParaRPr lang="en-US" sz="2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8DDEF9B-C866-5664-BA53-F389381DAA44}"/>
                </a:ext>
              </a:extLst>
            </xdr:cNvPr>
            <xdr:cNvSpPr txBox="1"/>
          </xdr:nvSpPr>
          <xdr:spPr>
            <a:xfrm>
              <a:off x="2165116" y="585811"/>
              <a:ext cx="1425929" cy="264363"/>
            </a:xfrm>
            <a:prstGeom prst="rect">
              <a:avLst/>
            </a:prstGeom>
            <a:grp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IN" sz="1100" b="1">
                  <a:latin typeface="Segoe UI" panose="020B0502040204020203" pitchFamily="34" charset="0"/>
                  <a:cs typeface="Segoe UI" panose="020B0502040204020203" pitchFamily="34" charset="0"/>
                </a:rPr>
                <a:t>Active Employees</a:t>
              </a:r>
            </a:p>
          </xdr:txBody>
        </xdr:sp>
      </xdr:grpSp>
      <xdr:pic>
        <xdr:nvPicPr>
          <xdr:cNvPr id="39" name="Graphic 38" descr="Meeting with solid fill">
            <a:extLst>
              <a:ext uri="{FF2B5EF4-FFF2-40B4-BE49-F238E27FC236}">
                <a16:creationId xmlns:a16="http://schemas.microsoft.com/office/drawing/2014/main" id="{7A8753B5-7608-C24E-C1F3-F5A1E4D420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256645" y="179616"/>
            <a:ext cx="457200" cy="4572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346</xdr:colOff>
      <xdr:row>0</xdr:row>
      <xdr:rowOff>140330</xdr:rowOff>
    </xdr:from>
    <xdr:to>
      <xdr:col>5</xdr:col>
      <xdr:colOff>123610</xdr:colOff>
      <xdr:row>3</xdr:row>
      <xdr:rowOff>7880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5B292FD9-6ECE-4A34-8D9A-CA0A5CDAE416}"/>
            </a:ext>
          </a:extLst>
        </xdr:cNvPr>
        <xdr:cNvGrpSpPr/>
      </xdr:nvGrpSpPr>
      <xdr:grpSpPr>
        <a:xfrm>
          <a:off x="4070322" y="140330"/>
          <a:ext cx="1692088" cy="790915"/>
          <a:chOff x="2026920" y="128953"/>
          <a:chExt cx="1691640" cy="787226"/>
        </a:xfrm>
      </xdr:grpSpPr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EE528FB2-F9FC-2F15-28DD-374B100EA5C8}"/>
              </a:ext>
            </a:extLst>
          </xdr:cNvPr>
          <xdr:cNvGrpSpPr/>
        </xdr:nvGrpSpPr>
        <xdr:grpSpPr>
          <a:xfrm>
            <a:off x="2026920" y="128953"/>
            <a:ext cx="1691640" cy="787226"/>
            <a:chOff x="2026920" y="128953"/>
            <a:chExt cx="1691640" cy="787226"/>
          </a:xfrm>
          <a:solidFill>
            <a:schemeClr val="accent5">
              <a:lumMod val="60000"/>
              <a:lumOff val="40000"/>
            </a:schemeClr>
          </a:solidFill>
        </xdr:grpSpPr>
        <xdr:pic>
          <xdr:nvPicPr>
            <xdr:cNvPr id="48" name="Graphic 47" descr="Meeting with solid fill">
              <a:extLst>
                <a:ext uri="{FF2B5EF4-FFF2-40B4-BE49-F238E27FC236}">
                  <a16:creationId xmlns:a16="http://schemas.microsoft.com/office/drawing/2014/main" id="{C335F9DC-A986-EC1E-51CC-EFD758252F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/>
          </xdr:blipFill>
          <xdr:spPr>
            <a:xfrm>
              <a:off x="2282721" y="128953"/>
              <a:ext cx="489966" cy="456860"/>
            </a:xfrm>
            <a:prstGeom prst="rect">
              <a:avLst/>
            </a:prstGeom>
          </xdr:spPr>
        </xdr:pic>
        <xdr:sp macro="" textlink="Dashborad_Source!C1">
          <xdr:nvSpPr>
            <xdr:cNvPr id="49" name="Rectangle: Rounded Corners 48">
              <a:extLst>
                <a:ext uri="{FF2B5EF4-FFF2-40B4-BE49-F238E27FC236}">
                  <a16:creationId xmlns:a16="http://schemas.microsoft.com/office/drawing/2014/main" id="{407A4FB8-D404-414F-FD50-337FD6B26E0D}"/>
                </a:ext>
              </a:extLst>
            </xdr:cNvPr>
            <xdr:cNvSpPr>
              <a:spLocks noChangeAspect="1"/>
            </xdr:cNvSpPr>
          </xdr:nvSpPr>
          <xdr:spPr>
            <a:xfrm>
              <a:off x="2026920" y="128953"/>
              <a:ext cx="1691640" cy="787226"/>
            </a:xfrm>
            <a:prstGeom prst="roundRect">
              <a:avLst>
                <a:gd name="adj" fmla="val 24272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/>
              <a:fld id="{6382167B-5E07-42C3-B2AF-18174DCF6712}" type="TxLink">
                <a:rPr lang="en-US" sz="24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algn="r"/>
                <a:t>12</a:t>
              </a:fld>
              <a:endParaRPr lang="en-US" sz="2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4F26C5DD-AB77-002A-0862-20CE6608D5F0}"/>
                </a:ext>
              </a:extLst>
            </xdr:cNvPr>
            <xdr:cNvSpPr txBox="1"/>
          </xdr:nvSpPr>
          <xdr:spPr>
            <a:xfrm>
              <a:off x="2165116" y="585811"/>
              <a:ext cx="1425929" cy="264363"/>
            </a:xfrm>
            <a:prstGeom prst="rect">
              <a:avLst/>
            </a:prstGeom>
            <a:grp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IN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Attrition</a:t>
              </a:r>
            </a:p>
          </xdr:txBody>
        </xdr:sp>
      </xdr:grpSp>
      <xdr:pic>
        <xdr:nvPicPr>
          <xdr:cNvPr id="47" name="Graphic 46" descr="Downward trend graph with solid fill">
            <a:extLst>
              <a:ext uri="{FF2B5EF4-FFF2-40B4-BE49-F238E27FC236}">
                <a16:creationId xmlns:a16="http://schemas.microsoft.com/office/drawing/2014/main" id="{BFEDAE00-1A91-612D-08D0-1143498FDE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/>
        </xdr:blipFill>
        <xdr:spPr>
          <a:xfrm>
            <a:off x="2256645" y="180722"/>
            <a:ext cx="457200" cy="454989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346</xdr:colOff>
      <xdr:row>0</xdr:row>
      <xdr:rowOff>134468</xdr:rowOff>
    </xdr:from>
    <xdr:to>
      <xdr:col>7</xdr:col>
      <xdr:colOff>123610</xdr:colOff>
      <xdr:row>3</xdr:row>
      <xdr:rowOff>2018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C3D7CAF7-1197-498C-B444-BBA04895CE1C}"/>
            </a:ext>
          </a:extLst>
        </xdr:cNvPr>
        <xdr:cNvGrpSpPr/>
      </xdr:nvGrpSpPr>
      <xdr:grpSpPr>
        <a:xfrm>
          <a:off x="6105311" y="134468"/>
          <a:ext cx="1692087" cy="790915"/>
          <a:chOff x="2026920" y="128953"/>
          <a:chExt cx="1691640" cy="787226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BB32D9EC-6329-5C0A-79A7-66EE250D28BE}"/>
              </a:ext>
            </a:extLst>
          </xdr:cNvPr>
          <xdr:cNvGrpSpPr/>
        </xdr:nvGrpSpPr>
        <xdr:grpSpPr>
          <a:xfrm>
            <a:off x="2026920" y="128953"/>
            <a:ext cx="1691640" cy="787226"/>
            <a:chOff x="2026920" y="128953"/>
            <a:chExt cx="1691640" cy="787226"/>
          </a:xfrm>
          <a:solidFill>
            <a:schemeClr val="accent5">
              <a:lumMod val="60000"/>
              <a:lumOff val="40000"/>
            </a:schemeClr>
          </a:solidFill>
        </xdr:grpSpPr>
        <xdr:pic>
          <xdr:nvPicPr>
            <xdr:cNvPr id="54" name="Graphic 53" descr="Meeting with solid fill">
              <a:extLst>
                <a:ext uri="{FF2B5EF4-FFF2-40B4-BE49-F238E27FC236}">
                  <a16:creationId xmlns:a16="http://schemas.microsoft.com/office/drawing/2014/main" id="{C85F091C-4518-656E-BCD5-AF6DB57B92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/>
          </xdr:blipFill>
          <xdr:spPr>
            <a:xfrm>
              <a:off x="2282721" y="128953"/>
              <a:ext cx="489966" cy="456860"/>
            </a:xfrm>
            <a:prstGeom prst="rect">
              <a:avLst/>
            </a:prstGeom>
          </xdr:spPr>
        </xdr:pic>
        <xdr:sp macro="" textlink="Dashborad_Source!D1">
          <xdr:nvSpPr>
            <xdr:cNvPr id="55" name="Rectangle: Rounded Corners 54">
              <a:extLst>
                <a:ext uri="{FF2B5EF4-FFF2-40B4-BE49-F238E27FC236}">
                  <a16:creationId xmlns:a16="http://schemas.microsoft.com/office/drawing/2014/main" id="{E49CBF6B-C0DF-EB82-713C-833BAB68314A}"/>
                </a:ext>
              </a:extLst>
            </xdr:cNvPr>
            <xdr:cNvSpPr>
              <a:spLocks noChangeAspect="1"/>
            </xdr:cNvSpPr>
          </xdr:nvSpPr>
          <xdr:spPr>
            <a:xfrm>
              <a:off x="2026920" y="128953"/>
              <a:ext cx="1691640" cy="787226"/>
            </a:xfrm>
            <a:prstGeom prst="roundRect">
              <a:avLst>
                <a:gd name="adj" fmla="val 24272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/>
              <a:fld id="{B955D0B1-A485-4685-8A6B-D2C1F51C6D25}" type="TxLink">
                <a:rPr lang="en-US" sz="24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algn="r"/>
                <a:t>8%</a:t>
              </a:fld>
              <a:endParaRPr lang="en-US" sz="2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E2B2249-DF7C-584F-55BC-621C54D0EBF2}"/>
                </a:ext>
              </a:extLst>
            </xdr:cNvPr>
            <xdr:cNvSpPr txBox="1"/>
          </xdr:nvSpPr>
          <xdr:spPr>
            <a:xfrm>
              <a:off x="2165116" y="585811"/>
              <a:ext cx="1425929" cy="264363"/>
            </a:xfrm>
            <a:prstGeom prst="rect">
              <a:avLst/>
            </a:prstGeom>
            <a:grp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IN" sz="1100" b="1">
                  <a:latin typeface="Segoe UI" panose="020B0502040204020203" pitchFamily="34" charset="0"/>
                  <a:cs typeface="Segoe UI" panose="020B0502040204020203" pitchFamily="34" charset="0"/>
                </a:rPr>
                <a:t>Attrition Rate</a:t>
              </a:r>
            </a:p>
          </xdr:txBody>
        </xdr:sp>
      </xdr:grpSp>
      <xdr:pic>
        <xdr:nvPicPr>
          <xdr:cNvPr id="53" name="Graphic 52" descr="Research with solid fill">
            <a:extLst>
              <a:ext uri="{FF2B5EF4-FFF2-40B4-BE49-F238E27FC236}">
                <a16:creationId xmlns:a16="http://schemas.microsoft.com/office/drawing/2014/main" id="{2231EA8C-54D6-54EC-7D48-81DED4B525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/>
        </xdr:blipFill>
        <xdr:spPr>
          <a:xfrm>
            <a:off x="2257919" y="180722"/>
            <a:ext cx="454652" cy="45498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5</xdr:row>
      <xdr:rowOff>0</xdr:rowOff>
    </xdr:from>
    <xdr:to>
      <xdr:col>4</xdr:col>
      <xdr:colOff>1333500</xdr:colOff>
      <xdr:row>21</xdr:row>
      <xdr:rowOff>114300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6AD1634A-1E0A-4810-B0A7-F798D9E8F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1536999</xdr:colOff>
      <xdr:row>4</xdr:row>
      <xdr:rowOff>152400</xdr:rowOff>
    </xdr:from>
    <xdr:to>
      <xdr:col>11</xdr:col>
      <xdr:colOff>66339</xdr:colOff>
      <xdr:row>17</xdr:row>
      <xdr:rowOff>152400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14AAEAF9-4CC8-4828-85B2-F029CEDEB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98612</xdr:colOff>
      <xdr:row>4</xdr:row>
      <xdr:rowOff>134470</xdr:rowOff>
    </xdr:from>
    <xdr:to>
      <xdr:col>20</xdr:col>
      <xdr:colOff>564776</xdr:colOff>
      <xdr:row>18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064C0-72C8-4E97-8522-576FB636F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h adhithya" refreshedDate="46059.662922685187" createdVersion="8" refreshedVersion="8" minRefreshableVersion="3" recordCount="150" xr:uid="{286BC30E-FBF8-45DA-B015-CFD8B1C07A32}">
  <cacheSource type="worksheet">
    <worksheetSource name="Table1_1"/>
  </cacheSource>
  <cacheFields count="22">
    <cacheField name="Employee_ID" numFmtId="0">
      <sharedItems count="15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  <s v="EMP101"/>
        <s v="EMP102"/>
        <s v="EMP103"/>
        <s v="EMP104"/>
        <s v="EMP105"/>
        <s v="EMP106"/>
        <s v="EMP107"/>
        <s v="EMP108"/>
        <s v="EMP109"/>
        <s v="EMP110"/>
        <s v="EMP111"/>
        <s v="EMP112"/>
        <s v="EMP113"/>
        <s v="EMP114"/>
        <s v="EMP115"/>
        <s v="EMP116"/>
        <s v="EMP117"/>
        <s v="EMP118"/>
        <s v="EMP119"/>
        <s v="EMP120"/>
        <s v="EMP121"/>
        <s v="EMP122"/>
        <s v="EMP123"/>
        <s v="EMP124"/>
        <s v="EMP125"/>
        <s v="EMP126"/>
        <s v="EMP127"/>
        <s v="EMP128"/>
        <s v="EMP129"/>
        <s v="EMP130"/>
        <s v="EMP131"/>
        <s v="EMP132"/>
        <s v="EMP133"/>
        <s v="EMP134"/>
        <s v="EMP135"/>
        <s v="EMP136"/>
        <s v="EMP137"/>
        <s v="EMP138"/>
        <s v="EMP139"/>
        <s v="EMP140"/>
        <s v="EMP141"/>
        <s v="EMP142"/>
        <s v="EMP143"/>
        <s v="EMP144"/>
        <s v="EMP145"/>
        <s v="EMP146"/>
        <s v="EMP147"/>
        <s v="EMP148"/>
        <s v="EMP149"/>
        <s v="EMP150"/>
      </sharedItems>
    </cacheField>
    <cacheField name="Employee_Name" numFmtId="0">
      <sharedItems/>
    </cacheField>
    <cacheField name="Gender" numFmtId="0">
      <sharedItems count="2">
        <s v="Male"/>
        <s v="Female"/>
      </sharedItems>
    </cacheField>
    <cacheField name="Date_of_Birth" numFmtId="14">
      <sharedItems containsSemiMixedTypes="0" containsNonDate="0" containsDate="1" containsString="0" minDate="1984-01-01T00:00:00" maxDate="1999-09-24T00:00:00"/>
    </cacheField>
    <cacheField name="Join_Date" numFmtId="14">
      <sharedItems containsSemiMixedTypes="0" containsNonDate="0" containsDate="1" containsString="0" minDate="2009-10-10T00:00:00" maxDate="2022-10-04T00:00:00"/>
    </cacheField>
    <cacheField name="Exit_Date" numFmtId="14">
      <sharedItems containsNonDate="0" containsDate="1" containsString="0" containsBlank="1" minDate="2021-06-05T00:00:00" maxDate="2024-01-18T00:00:00"/>
    </cacheField>
    <cacheField name="Department" numFmtId="0">
      <sharedItems count="5">
        <s v="Sales"/>
        <s v="HR"/>
        <s v="IT"/>
        <s v="Finance"/>
        <s v="Operations"/>
      </sharedItems>
    </cacheField>
    <cacheField name="Job_Level" numFmtId="0">
      <sharedItems/>
    </cacheField>
    <cacheField name="Location" numFmtId="0">
      <sharedItems/>
    </cacheField>
    <cacheField name="Employment_Type" numFmtId="0">
      <sharedItems/>
    </cacheField>
    <cacheField name="Monthly_Salary" numFmtId="0">
      <sharedItems containsSemiMixedTypes="0" containsString="0" containsNumber="1" containsInteger="1" minValue="30000" maxValue="180000"/>
    </cacheField>
    <cacheField name="Exit_Reason" numFmtId="0">
      <sharedItems containsBlank="1"/>
    </cacheField>
    <cacheField name="Employee_Status" numFmtId="0">
      <sharedItems/>
    </cacheField>
    <cacheField name="Attrition_Flag" numFmtId="0">
      <sharedItems containsSemiMixedTypes="0" containsString="0" containsNumber="1" containsInteger="1" minValue="0" maxValue="1"/>
    </cacheField>
    <cacheField name="Active_Employee_Flag" numFmtId="0">
      <sharedItems containsSemiMixedTypes="0" containsString="0" containsNumber="1" containsInteger="1" minValue="0" maxValue="1"/>
    </cacheField>
    <cacheField name="Tenure_Years" numFmtId="164">
      <sharedItems containsSemiMixedTypes="0" containsString="0" containsNumber="1" minValue="2.6944444444444446" maxValue="16.322222222222223"/>
    </cacheField>
    <cacheField name="Age_Years" numFmtId="1">
      <sharedItems containsSemiMixedTypes="0" containsString="0" containsNumber="1" minValue="26.369444444444444" maxValue="42.097222222222221"/>
    </cacheField>
    <cacheField name="Join_Year" numFmtId="0">
      <sharedItems containsSemiMixedTypes="0" containsString="0" containsNumber="1" containsInteger="1" minValue="2009" maxValue="2022"/>
    </cacheField>
    <cacheField name="Join_Month" numFmtId="0">
      <sharedItems count="78">
        <s v="2020-06"/>
        <s v="2019-07"/>
        <s v="2018-01"/>
        <s v="2021-08"/>
        <s v="2020-04"/>
        <s v="2019-05"/>
        <s v="2017-02"/>
        <s v="2021-09"/>
        <s v="2018-03"/>
        <s v="2020-01"/>
        <s v="2019-11"/>
        <s v="2020-07"/>
        <s v="2016-05"/>
        <s v="2021-10"/>
        <s v="2019-12"/>
        <s v="2021-02"/>
        <s v="2015-09"/>
        <s v="2017-03"/>
        <s v="2021-11"/>
        <s v="2014-08"/>
        <s v="2019-04"/>
        <s v="2016-02"/>
        <s v="2022-01"/>
        <s v="2019-06"/>
        <s v="2018-12"/>
        <s v="2012-10"/>
        <s v="2020-09"/>
        <s v="2016-01"/>
        <s v="2010-05"/>
        <s v="2019-02"/>
        <s v="2019-03"/>
        <s v="2020-08"/>
        <s v="2016-11"/>
        <s v="2017-07"/>
        <s v="2010-10"/>
        <s v="2014-03"/>
        <s v="2017-04"/>
        <s v="2009-11"/>
        <s v="2021-03"/>
        <s v="2018-10"/>
        <s v="2022-07"/>
        <s v="2015-01"/>
        <s v="2019-09"/>
        <s v="2018-02"/>
        <s v="2016-08"/>
        <s v="2017-06"/>
        <s v="2020-03"/>
        <s v="2022-02"/>
        <s v="2016-04"/>
        <s v="2011-05"/>
        <s v="2022-08"/>
        <s v="2019-01"/>
        <s v="2015-11"/>
        <s v="2012-02"/>
        <s v="2014-09"/>
        <s v="2011-03"/>
        <s v="2022-09"/>
        <s v="2016-10"/>
        <s v="2021-07"/>
        <s v="2020-05"/>
        <s v="2017-12"/>
        <s v="2009-10"/>
        <s v="2018-06"/>
        <s v="2014-05"/>
        <s v="2015-07"/>
        <s v="2019-08"/>
        <s v="2012-03"/>
        <s v="2018-08"/>
        <s v="2016-12"/>
        <s v="2022-10"/>
        <s v="2021-06"/>
        <s v="2016-07"/>
        <s v="2015-05"/>
        <s v="2018-04"/>
        <s v="2014-01"/>
        <s v="2020-02"/>
        <s v="2017-09"/>
        <s v="2014-07"/>
      </sharedItems>
    </cacheField>
    <cacheField name="Exit_Year" numFmtId="0">
      <sharedItems containsMixedTypes="1" containsNumber="1" containsInteger="1" minValue="2021" maxValue="2024"/>
    </cacheField>
    <cacheField name="Exit_Month" numFmtId="0">
      <sharedItems count="13">
        <s v=""/>
        <s v="2023-03"/>
        <s v="2022-12"/>
        <s v="2021-06"/>
        <s v="2022-08"/>
        <s v="2023-11"/>
        <s v="2021-09"/>
        <s v="2024-01"/>
        <s v="2023-02"/>
        <s v="2022-06"/>
        <s v="2023-01"/>
        <s v="2023-05"/>
        <s v="2022-10"/>
      </sharedItems>
    </cacheField>
    <cacheField name="Is_Contrac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Rahul Sharma"/>
    <x v="0"/>
    <d v="1996-05-12T00:00:00"/>
    <d v="2020-06-10T00:00:00"/>
    <m/>
    <x v="0"/>
    <s v="Executive"/>
    <s v="Delhi"/>
    <s v="Full-Time"/>
    <n v="42000"/>
    <m/>
    <s v="Active"/>
    <n v="0"/>
    <n v="1"/>
    <n v="5.6555555555555559"/>
    <n v="29.733333333333334"/>
    <n v="2020"/>
    <x v="0"/>
    <s v=""/>
    <x v="0"/>
    <n v="0"/>
  </r>
  <r>
    <x v="1"/>
    <s v="Anita Verma"/>
    <x v="1"/>
    <d v="1994-08-22T00:00:00"/>
    <d v="2019-07-15T00:00:00"/>
    <d v="2023-03-20T00:00:00"/>
    <x v="1"/>
    <s v="Senior Executive"/>
    <s v="Bangalore"/>
    <s v="Full-Time"/>
    <n v="55000"/>
    <s v="Personal Reasons"/>
    <s v="Exited"/>
    <n v="1"/>
    <n v="0"/>
    <n v="3.6805555555555554"/>
    <n v="31.455555555555556"/>
    <n v="2019"/>
    <x v="1"/>
    <n v="2023"/>
    <x v="1"/>
    <n v="0"/>
  </r>
  <r>
    <x v="2"/>
    <s v="Suresh Kumar"/>
    <x v="0"/>
    <d v="1992-02-01T00:00:00"/>
    <d v="2018-01-05T00:00:00"/>
    <m/>
    <x v="2"/>
    <s v="Manager"/>
    <s v="Chennai"/>
    <s v="Full-Time"/>
    <n v="95000"/>
    <m/>
    <s v="Active"/>
    <n v="0"/>
    <n v="1"/>
    <n v="8.0861111111111104"/>
    <n v="34.013888888888886"/>
    <n v="2018"/>
    <x v="2"/>
    <s v=""/>
    <x v="0"/>
    <n v="0"/>
  </r>
  <r>
    <x v="3"/>
    <s v="Priya Nair"/>
    <x v="1"/>
    <d v="1997-11-19T00:00:00"/>
    <d v="2021-08-12T00:00:00"/>
    <m/>
    <x v="3"/>
    <s v="Executive"/>
    <s v="Kochi"/>
    <s v="Full-Time"/>
    <n v="38000"/>
    <m/>
    <s v="Active"/>
    <n v="0"/>
    <n v="1"/>
    <n v="4.4833333333333334"/>
    <n v="28.213888888888889"/>
    <n v="2021"/>
    <x v="3"/>
    <s v=""/>
    <x v="0"/>
    <n v="0"/>
  </r>
  <r>
    <x v="4"/>
    <s v="Amit Singh"/>
    <x v="0"/>
    <d v="1995-09-03T00:00:00"/>
    <d v="2020-04-01T00:00:00"/>
    <d v="2022-12-15T00:00:00"/>
    <x v="0"/>
    <s v="Executive"/>
    <s v="Delhi"/>
    <s v="Full-Time"/>
    <n v="45000"/>
    <s v="Better Opportunity"/>
    <s v="Exited"/>
    <n v="1"/>
    <n v="0"/>
    <n v="2.7055555555555557"/>
    <n v="30.425000000000001"/>
    <n v="2020"/>
    <x v="4"/>
    <n v="2022"/>
    <x v="2"/>
    <n v="0"/>
  </r>
  <r>
    <x v="5"/>
    <s v="Neha Patel"/>
    <x v="1"/>
    <d v="1993-06-17T00:00:00"/>
    <d v="2019-05-20T00:00:00"/>
    <m/>
    <x v="1"/>
    <s v="Manager"/>
    <s v="Ahmedabad"/>
    <s v="Full-Time"/>
    <n v="78000"/>
    <m/>
    <s v="Active"/>
    <n v="0"/>
    <n v="1"/>
    <n v="6.7111111111111112"/>
    <n v="32.636111111111113"/>
    <n v="2019"/>
    <x v="5"/>
    <s v=""/>
    <x v="0"/>
    <n v="0"/>
  </r>
  <r>
    <x v="6"/>
    <s v="Rohit Iyer"/>
    <x v="0"/>
    <d v="1990-01-11T00:00:00"/>
    <d v="2017-02-01T00:00:00"/>
    <m/>
    <x v="4"/>
    <s v="Senior Manager"/>
    <s v="Mumbai"/>
    <s v="Full-Time"/>
    <n v="110000"/>
    <m/>
    <s v="Active"/>
    <n v="0"/>
    <n v="1"/>
    <n v="9.0138888888888893"/>
    <n v="36.069444444444443"/>
    <n v="2017"/>
    <x v="6"/>
    <s v=""/>
    <x v="0"/>
    <n v="0"/>
  </r>
  <r>
    <x v="7"/>
    <s v="Kavya Rao"/>
    <x v="1"/>
    <d v="1998-04-09T00:00:00"/>
    <d v="2021-09-18T00:00:00"/>
    <m/>
    <x v="2"/>
    <s v="Executive"/>
    <s v="Bangalore"/>
    <s v="Contract"/>
    <n v="36000"/>
    <m/>
    <s v="Active"/>
    <n v="0"/>
    <n v="1"/>
    <n v="4.3833333333333337"/>
    <n v="27.824999999999999"/>
    <n v="2021"/>
    <x v="7"/>
    <s v=""/>
    <x v="0"/>
    <n v="1"/>
  </r>
  <r>
    <x v="8"/>
    <s v="Manoj Das"/>
    <x v="0"/>
    <d v="1991-07-28T00:00:00"/>
    <d v="2018-03-10T00:00:00"/>
    <d v="2021-06-05T00:00:00"/>
    <x v="3"/>
    <s v="Senior Executive"/>
    <s v="Kolkata"/>
    <s v="Full-Time"/>
    <n v="60000"/>
    <s v="Performance Issues"/>
    <s v="Exited"/>
    <n v="1"/>
    <n v="0"/>
    <n v="3.2361111111111112"/>
    <n v="34.522222222222226"/>
    <n v="2018"/>
    <x v="8"/>
    <n v="2021"/>
    <x v="3"/>
    <n v="0"/>
  </r>
  <r>
    <x v="9"/>
    <s v="Deepa Menon"/>
    <x v="1"/>
    <d v="1996-12-14T00:00:00"/>
    <d v="2020-01-25T00:00:00"/>
    <m/>
    <x v="0"/>
    <s v="Executive"/>
    <s v="Chennai"/>
    <s v="Full-Time"/>
    <n v="43000"/>
    <m/>
    <s v="Active"/>
    <n v="0"/>
    <n v="1"/>
    <n v="6.0305555555555559"/>
    <n v="29.144444444444446"/>
    <n v="2020"/>
    <x v="9"/>
    <s v=""/>
    <x v="0"/>
    <n v="0"/>
  </r>
  <r>
    <x v="10"/>
    <s v="Arjun Mehta"/>
    <x v="0"/>
    <d v="1994-10-06T00:00:00"/>
    <d v="2019-11-11T00:00:00"/>
    <m/>
    <x v="2"/>
    <s v="Senior Executive"/>
    <s v="Pune"/>
    <s v="Full-Time"/>
    <n v="72000"/>
    <m/>
    <s v="Active"/>
    <n v="0"/>
    <n v="1"/>
    <n v="6.2361111111111107"/>
    <n v="31.333333333333332"/>
    <n v="2019"/>
    <x v="10"/>
    <s v=""/>
    <x v="0"/>
    <n v="0"/>
  </r>
  <r>
    <x v="11"/>
    <s v="Pooja Kulkarni"/>
    <x v="1"/>
    <d v="1995-03-02T00:00:00"/>
    <d v="2020-07-08T00:00:00"/>
    <m/>
    <x v="1"/>
    <s v="Executive"/>
    <s v="Pune"/>
    <s v="Full-Time"/>
    <n v="40000"/>
    <m/>
    <s v="Active"/>
    <n v="0"/>
    <n v="1"/>
    <n v="5.5777777777777775"/>
    <n v="30.927777777777777"/>
    <n v="2020"/>
    <x v="11"/>
    <s v=""/>
    <x v="0"/>
    <n v="0"/>
  </r>
  <r>
    <x v="12"/>
    <s v="Vikram Rao"/>
    <x v="0"/>
    <d v="1989-09-18T00:00:00"/>
    <d v="2016-05-14T00:00:00"/>
    <m/>
    <x v="4"/>
    <s v="Manager"/>
    <s v="Hyderabad"/>
    <s v="Full-Time"/>
    <n v="98000"/>
    <m/>
    <s v="Active"/>
    <n v="0"/>
    <n v="1"/>
    <n v="9.7277777777777779"/>
    <n v="36.383333333333333"/>
    <n v="2016"/>
    <x v="12"/>
    <s v=""/>
    <x v="0"/>
    <n v="0"/>
  </r>
  <r>
    <x v="13"/>
    <s v="Sneha Joseph"/>
    <x v="1"/>
    <d v="1998-01-21T00:00:00"/>
    <d v="2021-10-03T00:00:00"/>
    <m/>
    <x v="3"/>
    <s v="Executive"/>
    <s v="Trivandrum"/>
    <s v="Contract"/>
    <n v="34000"/>
    <m/>
    <s v="Active"/>
    <n v="0"/>
    <n v="1"/>
    <n v="4.3416666666666668"/>
    <n v="28.041666666666668"/>
    <n v="2021"/>
    <x v="13"/>
    <s v=""/>
    <x v="0"/>
    <n v="1"/>
  </r>
  <r>
    <x v="14"/>
    <s v="Karthik S"/>
    <x v="0"/>
    <d v="1993-06-30T00:00:00"/>
    <d v="2019-12-12T00:00:00"/>
    <d v="2022-08-22T00:00:00"/>
    <x v="2"/>
    <s v="Executive"/>
    <s v="Chennai"/>
    <s v="Full-Time"/>
    <n v="48000"/>
    <s v="Higher Studies"/>
    <s v="Exited"/>
    <n v="1"/>
    <n v="0"/>
    <n v="2.6944444444444446"/>
    <n v="32.6"/>
    <n v="2019"/>
    <x v="14"/>
    <n v="2022"/>
    <x v="4"/>
    <n v="0"/>
  </r>
  <r>
    <x v="15"/>
    <s v="Aishwarya Iyer"/>
    <x v="1"/>
    <d v="1997-02-05T00:00:00"/>
    <d v="2021-02-19T00:00:00"/>
    <m/>
    <x v="0"/>
    <s v="Executive"/>
    <s v="Coimbatore"/>
    <s v="Full-Time"/>
    <n v="41000"/>
    <m/>
    <s v="Active"/>
    <n v="0"/>
    <n v="1"/>
    <n v="4.9638888888888886"/>
    <n v="29.002777777777776"/>
    <n v="2021"/>
    <x v="15"/>
    <s v=""/>
    <x v="0"/>
    <n v="0"/>
  </r>
  <r>
    <x v="16"/>
    <s v="Ramesh Babu"/>
    <x v="0"/>
    <d v="1988-10-10T00:00:00"/>
    <d v="2015-09-01T00:00:00"/>
    <m/>
    <x v="4"/>
    <s v="Senior Manager"/>
    <s v="Chennai"/>
    <s v="Full-Time"/>
    <n v="115000"/>
    <m/>
    <s v="Active"/>
    <n v="0"/>
    <n v="1"/>
    <n v="10.430555555555555"/>
    <n v="37.322222222222223"/>
    <n v="2015"/>
    <x v="16"/>
    <s v=""/>
    <x v="0"/>
    <n v="0"/>
  </r>
  <r>
    <x v="17"/>
    <s v="Nidhi Gupta"/>
    <x v="1"/>
    <d v="1996-07-27T00:00:00"/>
    <d v="2020-06-15T00:00:00"/>
    <d v="2023-11-30T00:00:00"/>
    <x v="1"/>
    <s v="Executive"/>
    <s v="Delhi"/>
    <s v="Full-Time"/>
    <n v="46000"/>
    <s v="Relocation"/>
    <s v="Exited"/>
    <n v="1"/>
    <n v="0"/>
    <n v="3.4583333333333335"/>
    <n v="29.524999999999999"/>
    <n v="2020"/>
    <x v="0"/>
    <n v="2023"/>
    <x v="5"/>
    <n v="0"/>
  </r>
  <r>
    <x v="18"/>
    <s v="Ajay Nair"/>
    <x v="0"/>
    <d v="1992-04-14T00:00:00"/>
    <d v="2018-01-20T00:00:00"/>
    <m/>
    <x v="3"/>
    <s v="Manager"/>
    <s v="Kochi"/>
    <s v="Full-Time"/>
    <n v="88000"/>
    <m/>
    <s v="Active"/>
    <n v="0"/>
    <n v="1"/>
    <n v="8.0444444444444443"/>
    <n v="33.81111111111111"/>
    <n v="2018"/>
    <x v="2"/>
    <s v=""/>
    <x v="0"/>
    <n v="0"/>
  </r>
  <r>
    <x v="19"/>
    <s v="Meena Krishnan"/>
    <x v="1"/>
    <d v="1994-08-08T00:00:00"/>
    <d v="2019-05-05T00:00:00"/>
    <m/>
    <x v="2"/>
    <s v="Senior Executive"/>
    <s v="Bangalore"/>
    <s v="Full-Time"/>
    <n v="68000"/>
    <m/>
    <s v="Active"/>
    <n v="0"/>
    <n v="1"/>
    <n v="6.7527777777777782"/>
    <n v="31.494444444444444"/>
    <n v="2019"/>
    <x v="5"/>
    <s v=""/>
    <x v="0"/>
    <n v="0"/>
  </r>
  <r>
    <x v="20"/>
    <s v="Santosh Patil"/>
    <x v="0"/>
    <d v="1991-12-17T00:00:00"/>
    <d v="2017-03-11T00:00:00"/>
    <d v="2021-09-09T00:00:00"/>
    <x v="0"/>
    <s v="Senior Executive"/>
    <s v="Pune"/>
    <s v="Full-Time"/>
    <n v="62000"/>
    <s v="Better Opportunity"/>
    <s v="Exited"/>
    <n v="1"/>
    <n v="0"/>
    <n v="4.4944444444444445"/>
    <n v="34.136111111111113"/>
    <n v="2017"/>
    <x v="17"/>
    <n v="2021"/>
    <x v="6"/>
    <n v="0"/>
  </r>
  <r>
    <x v="21"/>
    <s v="Ritu Malhotra"/>
    <x v="1"/>
    <d v="1998-05-25T00:00:00"/>
    <d v="2021-11-01T00:00:00"/>
    <m/>
    <x v="1"/>
    <s v="Executive"/>
    <s v="Gurgaon"/>
    <s v="Contract"/>
    <n v="35000"/>
    <m/>
    <s v="Active"/>
    <n v="0"/>
    <n v="1"/>
    <n v="4.2638888888888893"/>
    <n v="27.697222222222223"/>
    <n v="2021"/>
    <x v="18"/>
    <s v=""/>
    <x v="0"/>
    <n v="1"/>
  </r>
  <r>
    <x v="22"/>
    <s v="Arvind Kumar"/>
    <x v="0"/>
    <d v="1987-03-03T00:00:00"/>
    <d v="2014-08-18T00:00:00"/>
    <m/>
    <x v="4"/>
    <s v="Director"/>
    <s v="Delhi"/>
    <s v="Full-Time"/>
    <n v="160000"/>
    <m/>
    <s v="Active"/>
    <n v="0"/>
    <n v="1"/>
    <n v="11.466666666666667"/>
    <n v="38.924999999999997"/>
    <n v="2014"/>
    <x v="19"/>
    <s v=""/>
    <x v="0"/>
    <n v="0"/>
  </r>
  <r>
    <x v="23"/>
    <s v="Shruti Jain"/>
    <x v="1"/>
    <d v="1995-06-12T00:00:00"/>
    <d v="2020-01-07T00:00:00"/>
    <m/>
    <x v="3"/>
    <s v="Executive"/>
    <s v="Jaipur"/>
    <s v="Full-Time"/>
    <n v="42000"/>
    <m/>
    <s v="Active"/>
    <n v="0"/>
    <n v="1"/>
    <n v="6.0805555555555557"/>
    <n v="30.65"/>
    <n v="2020"/>
    <x v="9"/>
    <s v=""/>
    <x v="0"/>
    <n v="0"/>
  </r>
  <r>
    <x v="24"/>
    <s v="Naveen Reddy"/>
    <x v="0"/>
    <d v="1993-09-29T00:00:00"/>
    <d v="2019-04-14T00:00:00"/>
    <m/>
    <x v="2"/>
    <s v="Manager"/>
    <s v="Hyderabad"/>
    <s v="Full-Time"/>
    <n v="92000"/>
    <m/>
    <s v="Active"/>
    <n v="0"/>
    <n v="1"/>
    <n v="6.8111111111111109"/>
    <n v="32.352777777777774"/>
    <n v="2019"/>
    <x v="20"/>
    <s v=""/>
    <x v="0"/>
    <n v="0"/>
  </r>
  <r>
    <x v="25"/>
    <s v="Pallavi Deshmukh"/>
    <x v="1"/>
    <d v="1996-01-01T00:00:00"/>
    <d v="2020-06-22T00:00:00"/>
    <d v="2024-01-17T00:00:00"/>
    <x v="0"/>
    <s v="Executive"/>
    <s v="Nagpur"/>
    <s v="Full-Time"/>
    <n v="39000"/>
    <s v="Health Reasons"/>
    <s v="Exited"/>
    <n v="1"/>
    <n v="0"/>
    <n v="3.5694444444444446"/>
    <n v="30.097222222222221"/>
    <n v="2020"/>
    <x v="0"/>
    <n v="2024"/>
    <x v="7"/>
    <n v="0"/>
  </r>
  <r>
    <x v="26"/>
    <s v="Mohan Lal"/>
    <x v="0"/>
    <d v="1990-11-16T00:00:00"/>
    <d v="2016-02-05T00:00:00"/>
    <m/>
    <x v="4"/>
    <s v="Manager"/>
    <s v="Jaipur"/>
    <s v="Full-Time"/>
    <n v="87000"/>
    <m/>
    <s v="Active"/>
    <n v="0"/>
    <n v="1"/>
    <n v="10.002777777777778"/>
    <n v="35.222222222222221"/>
    <n v="2016"/>
    <x v="21"/>
    <s v=""/>
    <x v="0"/>
    <n v="0"/>
  </r>
  <r>
    <x v="27"/>
    <s v="Ishita Roy"/>
    <x v="1"/>
    <d v="1997-02-20T00:00:00"/>
    <d v="2021-08-30T00:00:00"/>
    <m/>
    <x v="1"/>
    <s v="Senior Executive"/>
    <s v="Kolkata"/>
    <s v="Full-Time"/>
    <n v="52000"/>
    <m/>
    <s v="Active"/>
    <n v="0"/>
    <n v="1"/>
    <n v="4.4333333333333336"/>
    <n v="28.961111111111112"/>
    <n v="2021"/>
    <x v="3"/>
    <s v=""/>
    <x v="0"/>
    <n v="0"/>
  </r>
  <r>
    <x v="28"/>
    <s v="Prakash M"/>
    <x v="0"/>
    <d v="1988-07-07T00:00:00"/>
    <d v="2015-09-09T00:00:00"/>
    <m/>
    <x v="3"/>
    <s v="Senior Manager"/>
    <s v="Bangalore"/>
    <s v="Full-Time"/>
    <n v="125000"/>
    <m/>
    <s v="Active"/>
    <n v="0"/>
    <n v="1"/>
    <n v="10.408333333333333"/>
    <n v="37.580555555555556"/>
    <n v="2015"/>
    <x v="16"/>
    <s v=""/>
    <x v="0"/>
    <n v="0"/>
  </r>
  <r>
    <x v="29"/>
    <s v="Keerthi S"/>
    <x v="1"/>
    <d v="1999-03-11T00:00:00"/>
    <d v="2022-01-02T00:00:00"/>
    <m/>
    <x v="2"/>
    <s v="Executive"/>
    <s v="Chennai"/>
    <s v="Contract"/>
    <n v="32000"/>
    <m/>
    <s v="Active"/>
    <n v="0"/>
    <n v="1"/>
    <n v="4.0944444444444441"/>
    <n v="26.902777777777779"/>
    <n v="2022"/>
    <x v="22"/>
    <s v=""/>
    <x v="0"/>
    <n v="1"/>
  </r>
  <r>
    <x v="30"/>
    <s v="Suraj Yadav"/>
    <x v="0"/>
    <d v="1994-05-24T00:00:00"/>
    <d v="2019-06-18T00:00:00"/>
    <m/>
    <x v="4"/>
    <s v="Executive"/>
    <s v="Indore"/>
    <s v="Full-Time"/>
    <n v="45000"/>
    <m/>
    <s v="Active"/>
    <n v="0"/>
    <n v="1"/>
    <n v="6.6333333333333337"/>
    <n v="31.7"/>
    <n v="2019"/>
    <x v="23"/>
    <s v=""/>
    <x v="0"/>
    <n v="0"/>
  </r>
  <r>
    <x v="31"/>
    <s v="Lakshmi Narayanan"/>
    <x v="1"/>
    <d v="1992-09-09T00:00:00"/>
    <d v="2018-12-01T00:00:00"/>
    <d v="2023-02-28T00:00:00"/>
    <x v="3"/>
    <s v="Senior Executive"/>
    <s v="Chennai"/>
    <s v="Full-Time"/>
    <n v="64000"/>
    <s v="Work-Life Balance"/>
    <s v="Exited"/>
    <n v="1"/>
    <n v="0"/>
    <n v="4.2416666666666663"/>
    <n v="33.408333333333331"/>
    <n v="2018"/>
    <x v="24"/>
    <n v="2023"/>
    <x v="8"/>
    <n v="0"/>
  </r>
  <r>
    <x v="32"/>
    <s v="Harish V"/>
    <x v="0"/>
    <d v="1986-01-15T00:00:00"/>
    <d v="2012-10-10T00:00:00"/>
    <m/>
    <x v="2"/>
    <s v="Director"/>
    <s v="Bangalore"/>
    <s v="Full-Time"/>
    <n v="180000"/>
    <m/>
    <s v="Active"/>
    <n v="0"/>
    <n v="1"/>
    <n v="13.322222222222223"/>
    <n v="40.05833333333333"/>
    <n v="2012"/>
    <x v="25"/>
    <s v=""/>
    <x v="0"/>
    <n v="0"/>
  </r>
  <r>
    <x v="33"/>
    <s v="Radhika Menon"/>
    <x v="1"/>
    <d v="1996-04-05T00:00:00"/>
    <d v="2020-07-17T00:00:00"/>
    <m/>
    <x v="0"/>
    <s v="Executive"/>
    <s v="Kochi"/>
    <s v="Full-Time"/>
    <n v="41000"/>
    <m/>
    <s v="Active"/>
    <n v="0"/>
    <n v="1"/>
    <n v="5.552777777777778"/>
    <n v="29.836111111111112"/>
    <n v="2020"/>
    <x v="11"/>
    <s v=""/>
    <x v="0"/>
    <n v="0"/>
  </r>
  <r>
    <x v="34"/>
    <s v="Dinesh Kumar"/>
    <x v="0"/>
    <d v="1991-08-28T00:00:00"/>
    <d v="2017-03-22T00:00:00"/>
    <m/>
    <x v="4"/>
    <s v="Senior Executive"/>
    <s v="Chennai"/>
    <s v="Full-Time"/>
    <n v="69000"/>
    <m/>
    <s v="Active"/>
    <n v="0"/>
    <n v="1"/>
    <n v="8.8722222222222218"/>
    <n v="34.43888888888889"/>
    <n v="2017"/>
    <x v="17"/>
    <s v=""/>
    <x v="0"/>
    <n v="0"/>
  </r>
  <r>
    <x v="35"/>
    <s v="Tanvi Shah"/>
    <x v="1"/>
    <d v="1995-12-13T00:00:00"/>
    <d v="2020-09-09T00:00:00"/>
    <m/>
    <x v="1"/>
    <s v="Executive"/>
    <s v="Surat"/>
    <s v="Full-Time"/>
    <n v="43000"/>
    <m/>
    <s v="Active"/>
    <n v="0"/>
    <n v="1"/>
    <n v="5.4083333333333332"/>
    <n v="30.147222222222222"/>
    <n v="2020"/>
    <x v="26"/>
    <s v=""/>
    <x v="0"/>
    <n v="0"/>
  </r>
  <r>
    <x v="36"/>
    <s v="Sekar P"/>
    <x v="0"/>
    <d v="1989-06-04T00:00:00"/>
    <d v="2016-01-01T00:00:00"/>
    <m/>
    <x v="2"/>
    <s v="Senior Manager"/>
    <s v="Chennai"/>
    <s v="Full-Time"/>
    <n v="105000"/>
    <m/>
    <s v="Active"/>
    <n v="0"/>
    <n v="1"/>
    <n v="10.097222222222221"/>
    <n v="36.672222222222224"/>
    <n v="2016"/>
    <x v="27"/>
    <s v=""/>
    <x v="0"/>
    <n v="0"/>
  </r>
  <r>
    <x v="37"/>
    <s v="Priyanshi Agarwal"/>
    <x v="1"/>
    <d v="1998-10-18T00:00:00"/>
    <d v="2021-10-11T00:00:00"/>
    <m/>
    <x v="0"/>
    <s v="Executive"/>
    <s v="Noida"/>
    <s v="Full-Time"/>
    <n v="38000"/>
    <m/>
    <s v="Active"/>
    <n v="0"/>
    <n v="1"/>
    <n v="4.3194444444444446"/>
    <n v="27.3"/>
    <n v="2021"/>
    <x v="13"/>
    <s v=""/>
    <x v="0"/>
    <n v="0"/>
  </r>
  <r>
    <x v="38"/>
    <s v="Rajiv Malhotra"/>
    <x v="0"/>
    <d v="1985-02-22T00:00:00"/>
    <d v="2010-05-05T00:00:00"/>
    <m/>
    <x v="3"/>
    <s v="Director"/>
    <s v="Delhi"/>
    <s v="Full-Time"/>
    <n v="170000"/>
    <m/>
    <s v="Active"/>
    <n v="0"/>
    <n v="1"/>
    <n v="15.752777777777778"/>
    <n v="40.955555555555556"/>
    <n v="2010"/>
    <x v="28"/>
    <s v=""/>
    <x v="0"/>
    <n v="0"/>
  </r>
  <r>
    <x v="39"/>
    <s v="Sowmya R"/>
    <x v="1"/>
    <d v="1993-07-30T00:00:00"/>
    <d v="2019-02-14T00:00:00"/>
    <m/>
    <x v="2"/>
    <s v="Senior Executive"/>
    <s v="Bangalore"/>
    <s v="Full-Time"/>
    <n v="71000"/>
    <m/>
    <s v="Active"/>
    <n v="0"/>
    <n v="1"/>
    <n v="6.9777777777777779"/>
    <n v="32.516666666666666"/>
    <n v="2019"/>
    <x v="29"/>
    <s v=""/>
    <x v="0"/>
    <n v="0"/>
  </r>
  <r>
    <x v="40"/>
    <s v="Kiran Joshi"/>
    <x v="0"/>
    <d v="1992-09-16T00:00:00"/>
    <d v="2019-03-05T00:00:00"/>
    <m/>
    <x v="1"/>
    <s v="Executive"/>
    <s v="Mumbai"/>
    <s v="Full-Time"/>
    <n v="47000"/>
    <m/>
    <s v="Active"/>
    <n v="0"/>
    <n v="1"/>
    <n v="6.9194444444444443"/>
    <n v="33.388888888888886"/>
    <n v="2019"/>
    <x v="30"/>
    <s v=""/>
    <x v="0"/>
    <n v="0"/>
  </r>
  <r>
    <x v="41"/>
    <s v="Anjali Kapoor"/>
    <x v="1"/>
    <d v="1995-01-27T00:00:00"/>
    <d v="2020-08-18T00:00:00"/>
    <m/>
    <x v="3"/>
    <s v="Executive"/>
    <s v="Delhi"/>
    <s v="Full-Time"/>
    <n v="45000"/>
    <m/>
    <s v="Active"/>
    <n v="0"/>
    <n v="1"/>
    <n v="5.4666666666666668"/>
    <n v="31.024999999999999"/>
    <n v="2020"/>
    <x v="31"/>
    <s v=""/>
    <x v="0"/>
    <n v="0"/>
  </r>
  <r>
    <x v="42"/>
    <s v="Sunil Pawar"/>
    <x v="0"/>
    <d v="1988-06-08T00:00:00"/>
    <d v="2016-11-11T00:00:00"/>
    <m/>
    <x v="4"/>
    <s v="Manager"/>
    <s v="Pune"/>
    <s v="Full-Time"/>
    <n v="90000"/>
    <m/>
    <s v="Active"/>
    <n v="0"/>
    <n v="1"/>
    <n v="9.2361111111111107"/>
    <n v="37.661111111111111"/>
    <n v="2016"/>
    <x v="32"/>
    <s v=""/>
    <x v="0"/>
    <n v="0"/>
  </r>
  <r>
    <x v="43"/>
    <s v="Megha Sinha"/>
    <x v="1"/>
    <d v="1997-03-19T00:00:00"/>
    <d v="2021-02-22T00:00:00"/>
    <m/>
    <x v="2"/>
    <s v="Executive"/>
    <s v="Noida"/>
    <s v="Full-Time"/>
    <n v="42000"/>
    <m/>
    <s v="Active"/>
    <n v="0"/>
    <n v="1"/>
    <n v="4.9555555555555557"/>
    <n v="28.880555555555556"/>
    <n v="2021"/>
    <x v="15"/>
    <s v=""/>
    <x v="0"/>
    <n v="0"/>
  </r>
  <r>
    <x v="44"/>
    <s v="Sandeep R"/>
    <x v="0"/>
    <d v="1990-12-25T00:00:00"/>
    <d v="2017-07-01T00:00:00"/>
    <d v="2022-06-30T00:00:00"/>
    <x v="0"/>
    <s v="Senior Executive"/>
    <s v="Chennai"/>
    <s v="Full-Time"/>
    <n v="62000"/>
    <s v="Better Opportunity"/>
    <s v="Exited"/>
    <n v="1"/>
    <n v="0"/>
    <n v="4.9972222222222218"/>
    <n v="35.113888888888887"/>
    <n v="2017"/>
    <x v="33"/>
    <n v="2022"/>
    <x v="9"/>
    <n v="0"/>
  </r>
  <r>
    <x v="45"/>
    <s v="Priyanka Das"/>
    <x v="1"/>
    <d v="1996-07-14T00:00:00"/>
    <d v="2020-09-15T00:00:00"/>
    <m/>
    <x v="1"/>
    <s v="Senior Executive"/>
    <s v="Kolkata"/>
    <s v="Full-Time"/>
    <n v="54000"/>
    <m/>
    <s v="Active"/>
    <n v="0"/>
    <n v="1"/>
    <n v="5.3916666666666666"/>
    <n v="29.56111111111111"/>
    <n v="2020"/>
    <x v="26"/>
    <s v=""/>
    <x v="0"/>
    <n v="0"/>
  </r>
  <r>
    <x v="46"/>
    <s v="Nitin Malviya"/>
    <x v="0"/>
    <d v="1985-02-02T00:00:00"/>
    <d v="2010-10-10T00:00:00"/>
    <m/>
    <x v="3"/>
    <s v="Senior Manager"/>
    <s v="Indore"/>
    <s v="Full-Time"/>
    <n v="130000"/>
    <m/>
    <s v="Active"/>
    <n v="0"/>
    <n v="1"/>
    <n v="15.322222222222223"/>
    <n v="41.011111111111113"/>
    <n v="2010"/>
    <x v="34"/>
    <s v=""/>
    <x v="0"/>
    <n v="0"/>
  </r>
  <r>
    <x v="47"/>
    <s v="Aparna Pillai"/>
    <x v="1"/>
    <d v="1998-11-09T00:00:00"/>
    <d v="2022-01-03T00:00:00"/>
    <m/>
    <x v="2"/>
    <s v="Executive"/>
    <s v="Trivandrum"/>
    <s v="Contract"/>
    <n v="30000"/>
    <m/>
    <s v="Active"/>
    <n v="0"/>
    <n v="1"/>
    <n v="4.0916666666666668"/>
    <n v="27.241666666666667"/>
    <n v="2022"/>
    <x v="22"/>
    <s v=""/>
    <x v="0"/>
    <n v="1"/>
  </r>
  <r>
    <x v="48"/>
    <s v="Rahul Khanna"/>
    <x v="0"/>
    <d v="1993-05-21T00:00:00"/>
    <d v="2019-06-19T00:00:00"/>
    <m/>
    <x v="4"/>
    <s v="Executive"/>
    <s v="Gurgaon"/>
    <s v="Full-Time"/>
    <n v="48000"/>
    <m/>
    <s v="Active"/>
    <n v="0"/>
    <n v="1"/>
    <n v="6.6305555555555555"/>
    <n v="32.708333333333336"/>
    <n v="2019"/>
    <x v="23"/>
    <s v=""/>
    <x v="0"/>
    <n v="0"/>
  </r>
  <r>
    <x v="49"/>
    <s v="Pallav Ghosh"/>
    <x v="0"/>
    <d v="1989-08-07T00:00:00"/>
    <d v="2016-02-14T00:00:00"/>
    <d v="2023-01-12T00:00:00"/>
    <x v="2"/>
    <s v="Senior Executive"/>
    <s v="Bangalore"/>
    <s v="Full-Time"/>
    <n v="75000"/>
    <s v="Work-Life Balance"/>
    <s v="Exited"/>
    <n v="1"/>
    <n v="0"/>
    <n v="6.9111111111111114"/>
    <n v="36.49722222222222"/>
    <n v="2016"/>
    <x v="21"/>
    <n v="2023"/>
    <x v="10"/>
    <n v="0"/>
  </r>
  <r>
    <x v="50"/>
    <s v="Shraddha Kulkarni"/>
    <x v="1"/>
    <d v="1994-04-18T00:00:00"/>
    <d v="2019-07-25T00:00:00"/>
    <m/>
    <x v="1"/>
    <s v="Executive"/>
    <s v="Nashik"/>
    <s v="Full-Time"/>
    <n v="41000"/>
    <m/>
    <s v="Active"/>
    <n v="0"/>
    <n v="1"/>
    <n v="6.5305555555555559"/>
    <n v="31.8"/>
    <n v="2019"/>
    <x v="1"/>
    <s v=""/>
    <x v="0"/>
    <n v="0"/>
  </r>
  <r>
    <x v="51"/>
    <s v="Deepak Choudhary"/>
    <x v="0"/>
    <d v="1991-01-30T00:00:00"/>
    <d v="2018-12-01T00:00:00"/>
    <m/>
    <x v="4"/>
    <s v="Senior Executive"/>
    <s v="Jodhpur"/>
    <s v="Full-Time"/>
    <n v="67000"/>
    <m/>
    <s v="Active"/>
    <n v="0"/>
    <n v="1"/>
    <n v="7.1805555555555554"/>
    <n v="35.016666666666666"/>
    <n v="2018"/>
    <x v="24"/>
    <s v=""/>
    <x v="0"/>
    <n v="0"/>
  </r>
  <r>
    <x v="52"/>
    <s v="Swetha R"/>
    <x v="1"/>
    <d v="1997-10-11T00:00:00"/>
    <d v="2021-08-09T00:00:00"/>
    <m/>
    <x v="3"/>
    <s v="Executive"/>
    <s v="Chennai"/>
    <s v="Full-Time"/>
    <n v="39000"/>
    <m/>
    <s v="Active"/>
    <n v="0"/>
    <n v="1"/>
    <n v="4.4916666666666663"/>
    <n v="28.319444444444443"/>
    <n v="2021"/>
    <x v="3"/>
    <s v=""/>
    <x v="0"/>
    <n v="0"/>
  </r>
  <r>
    <x v="53"/>
    <s v="Vivek Mishra"/>
    <x v="0"/>
    <d v="1986-06-26T00:00:00"/>
    <d v="2014-03-17T00:00:00"/>
    <m/>
    <x v="2"/>
    <s v="Manager"/>
    <s v="Kanpur"/>
    <s v="Full-Time"/>
    <n v="98000"/>
    <m/>
    <s v="Active"/>
    <n v="0"/>
    <n v="1"/>
    <n v="11.886111111111111"/>
    <n v="39.611111111111114"/>
    <n v="2014"/>
    <x v="35"/>
    <s v=""/>
    <x v="0"/>
    <n v="0"/>
  </r>
  <r>
    <x v="54"/>
    <s v="Ritu Saxena"/>
    <x v="1"/>
    <d v="1999-05-05T00:00:00"/>
    <d v="2022-01-10T00:00:00"/>
    <m/>
    <x v="1"/>
    <s v="Executive"/>
    <s v="Noida"/>
    <s v="Contract"/>
    <n v="33000"/>
    <m/>
    <s v="Active"/>
    <n v="0"/>
    <n v="1"/>
    <n v="4.072222222222222"/>
    <n v="26.752777777777776"/>
    <n v="2022"/>
    <x v="22"/>
    <s v=""/>
    <x v="0"/>
    <n v="1"/>
  </r>
  <r>
    <x v="55"/>
    <s v="Manish Jain"/>
    <x v="0"/>
    <d v="1990-12-14T00:00:00"/>
    <d v="2017-04-20T00:00:00"/>
    <m/>
    <x v="3"/>
    <s v="Senior Executive"/>
    <s v="Udaipur"/>
    <s v="Full-Time"/>
    <n v="66000"/>
    <m/>
    <s v="Active"/>
    <n v="0"/>
    <n v="1"/>
    <n v="8.7944444444444443"/>
    <n v="35.144444444444446"/>
    <n v="2017"/>
    <x v="36"/>
    <s v=""/>
    <x v="0"/>
    <n v="0"/>
  </r>
  <r>
    <x v="56"/>
    <s v="Pooja N"/>
    <x v="1"/>
    <d v="1995-09-01T00:00:00"/>
    <d v="2020-06-15T00:00:00"/>
    <d v="2023-05-18T00:00:00"/>
    <x v="0"/>
    <s v="Executive"/>
    <s v="Bangalore"/>
    <s v="Full-Time"/>
    <n v="44000"/>
    <s v="Relocation"/>
    <s v="Exited"/>
    <n v="1"/>
    <n v="0"/>
    <n v="2.9249999999999998"/>
    <n v="30.430555555555557"/>
    <n v="2020"/>
    <x v="0"/>
    <n v="2023"/>
    <x v="11"/>
    <n v="0"/>
  </r>
  <r>
    <x v="57"/>
    <s v="Ashok Verma"/>
    <x v="0"/>
    <d v="1984-02-09T00:00:00"/>
    <d v="2009-11-11T00:00:00"/>
    <m/>
    <x v="4"/>
    <s v="Director"/>
    <s v="Jaipur"/>
    <s v="Full-Time"/>
    <n v="165000"/>
    <m/>
    <s v="Active"/>
    <n v="0"/>
    <n v="1"/>
    <n v="16.236111111111111"/>
    <n v="41.991666666666667"/>
    <n v="2009"/>
    <x v="37"/>
    <s v=""/>
    <x v="0"/>
    <n v="0"/>
  </r>
  <r>
    <x v="58"/>
    <s v="Isha Banerjee"/>
    <x v="1"/>
    <d v="1996-07-23T00:00:00"/>
    <d v="2021-03-02T00:00:00"/>
    <m/>
    <x v="2"/>
    <s v="Executive"/>
    <s v="Kolkata"/>
    <s v="Full-Time"/>
    <n v="41000"/>
    <m/>
    <s v="Active"/>
    <n v="0"/>
    <n v="1"/>
    <n v="4.927777777777778"/>
    <n v="29.536111111111111"/>
    <n v="2021"/>
    <x v="38"/>
    <s v=""/>
    <x v="0"/>
    <n v="0"/>
  </r>
  <r>
    <x v="59"/>
    <s v="Raghav Arora"/>
    <x v="0"/>
    <d v="1992-08-17T00:00:00"/>
    <d v="2018-10-01T00:00:00"/>
    <m/>
    <x v="3"/>
    <s v="Manager"/>
    <s v="Delhi"/>
    <s v="Full-Time"/>
    <n v="92000"/>
    <m/>
    <s v="Active"/>
    <n v="0"/>
    <n v="1"/>
    <n v="7.3472222222222223"/>
    <n v="33.469444444444441"/>
    <n v="2018"/>
    <x v="39"/>
    <s v=""/>
    <x v="0"/>
    <n v="0"/>
  </r>
  <r>
    <x v="60"/>
    <s v="Divya S"/>
    <x v="1"/>
    <d v="1998-12-12T00:00:00"/>
    <d v="2022-07-04T00:00:00"/>
    <m/>
    <x v="1"/>
    <s v="Executive"/>
    <s v="Chennai"/>
    <s v="Contract"/>
    <n v="31000"/>
    <m/>
    <s v="Active"/>
    <n v="0"/>
    <n v="1"/>
    <n v="3.588888888888889"/>
    <n v="27.15"/>
    <n v="2022"/>
    <x v="40"/>
    <s v=""/>
    <x v="0"/>
    <n v="1"/>
  </r>
  <r>
    <x v="61"/>
    <s v="Sachin Kulkarni"/>
    <x v="0"/>
    <d v="1987-05-28T00:00:00"/>
    <d v="2015-01-16T00:00:00"/>
    <m/>
    <x v="4"/>
    <s v="Senior Manager"/>
    <s v="Pune"/>
    <s v="Full-Time"/>
    <n v="118000"/>
    <m/>
    <s v="Active"/>
    <n v="0"/>
    <n v="1"/>
    <n v="11.055555555555555"/>
    <n v="38.68888888888889"/>
    <n v="2015"/>
    <x v="41"/>
    <s v=""/>
    <x v="0"/>
    <n v="0"/>
  </r>
  <r>
    <x v="62"/>
    <s v="Neelam Yadav"/>
    <x v="1"/>
    <d v="1994-03-03T00:00:00"/>
    <d v="2019-09-09T00:00:00"/>
    <m/>
    <x v="2"/>
    <s v="Senior Executive"/>
    <s v="Gurgaon"/>
    <s v="Full-Time"/>
    <n v="70000"/>
    <m/>
    <s v="Active"/>
    <n v="0"/>
    <n v="1"/>
    <n v="6.4083333333333332"/>
    <n v="31.925000000000001"/>
    <n v="2019"/>
    <x v="42"/>
    <s v=""/>
    <x v="0"/>
    <n v="0"/>
  </r>
  <r>
    <x v="63"/>
    <s v="Tarun Bhat"/>
    <x v="0"/>
    <d v="1991-09-19T00:00:00"/>
    <d v="2018-02-25T00:00:00"/>
    <d v="2022-10-14T00:00:00"/>
    <x v="0"/>
    <s v="Senior Executive"/>
    <s v="Mumbai"/>
    <s v="Full-Time"/>
    <n v="64000"/>
    <s v="Performance Issues"/>
    <s v="Exited"/>
    <n v="1"/>
    <n v="0"/>
    <n v="4.6361111111111111"/>
    <n v="34.380555555555553"/>
    <n v="2018"/>
    <x v="43"/>
    <n v="2022"/>
    <x v="12"/>
    <n v="0"/>
  </r>
  <r>
    <x v="64"/>
    <s v="Kavita Shetty"/>
    <x v="1"/>
    <d v="1993-01-07T00:00:00"/>
    <d v="2019-05-03T00:00:00"/>
    <m/>
    <x v="3"/>
    <s v="Executive"/>
    <s v="Mangalore"/>
    <s v="Full-Time"/>
    <n v="42000"/>
    <m/>
    <s v="Active"/>
    <n v="0"/>
    <n v="1"/>
    <n v="6.7583333333333337"/>
    <n v="33.080555555555556"/>
    <n v="2019"/>
    <x v="5"/>
    <s v=""/>
    <x v="0"/>
    <n v="0"/>
  </r>
  <r>
    <x v="65"/>
    <s v="Rajesh K"/>
    <x v="0"/>
    <d v="1988-06-15T00:00:00"/>
    <d v="2016-08-08T00:00:00"/>
    <m/>
    <x v="2"/>
    <s v="Senior Manager"/>
    <s v="Chennai"/>
    <s v="Full-Time"/>
    <n v="112000"/>
    <m/>
    <s v="Active"/>
    <n v="0"/>
    <n v="1"/>
    <n v="9.4944444444444436"/>
    <n v="37.641666666666666"/>
    <n v="2016"/>
    <x v="44"/>
    <s v=""/>
    <x v="0"/>
    <n v="0"/>
  </r>
  <r>
    <x v="66"/>
    <s v="Sonal Agarwal"/>
    <x v="1"/>
    <d v="1997-11-24T00:00:00"/>
    <d v="2021-09-12T00:00:00"/>
    <m/>
    <x v="1"/>
    <s v="Executive"/>
    <s v="Agra"/>
    <s v="Full-Time"/>
    <n v="38000"/>
    <m/>
    <s v="Active"/>
    <n v="0"/>
    <n v="1"/>
    <n v="4.4000000000000004"/>
    <n v="28.2"/>
    <n v="2021"/>
    <x v="7"/>
    <s v=""/>
    <x v="0"/>
    <n v="0"/>
  </r>
  <r>
    <x v="67"/>
    <s v="Pranav Kulkarni"/>
    <x v="0"/>
    <d v="1990-04-02T00:00:00"/>
    <d v="2017-06-18T00:00:00"/>
    <m/>
    <x v="4"/>
    <s v="Manager"/>
    <s v="Kolhapur"/>
    <s v="Full-Time"/>
    <n v="85000"/>
    <m/>
    <s v="Active"/>
    <n v="0"/>
    <n v="1"/>
    <n v="8.6333333333333329"/>
    <n v="35.844444444444441"/>
    <n v="2017"/>
    <x v="45"/>
    <s v=""/>
    <x v="0"/>
    <n v="0"/>
  </r>
  <r>
    <x v="68"/>
    <s v="Madhuri Patil"/>
    <x v="1"/>
    <d v="1995-08-29T00:00:00"/>
    <d v="2020-01-11T00:00:00"/>
    <m/>
    <x v="3"/>
    <s v="Senior Executive"/>
    <s v="Pune"/>
    <s v="Full-Time"/>
    <n v="60000"/>
    <m/>
    <s v="Active"/>
    <n v="0"/>
    <n v="1"/>
    <n v="6.0694444444444446"/>
    <n v="30.43611111111111"/>
    <n v="2020"/>
    <x v="9"/>
    <s v=""/>
    <x v="0"/>
    <n v="0"/>
  </r>
  <r>
    <x v="69"/>
    <s v="Aakash Tiwari"/>
    <x v="0"/>
    <d v="1994-10-10T00:00:00"/>
    <d v="2020-03-14T00:00:00"/>
    <m/>
    <x v="2"/>
    <s v="Executive"/>
    <s v="Bhopal"/>
    <s v="Full-Time"/>
    <n v="45000"/>
    <m/>
    <s v="Active"/>
    <n v="0"/>
    <n v="1"/>
    <n v="5.8944444444444448"/>
    <n v="31.322222222222223"/>
    <n v="2020"/>
    <x v="46"/>
    <s v=""/>
    <x v="0"/>
    <n v="0"/>
  </r>
  <r>
    <x v="70"/>
    <s v="Nandini Rao"/>
    <x v="1"/>
    <d v="1998-06-06T00:00:00"/>
    <d v="2022-02-20T00:00:00"/>
    <m/>
    <x v="1"/>
    <s v="Executive"/>
    <s v="Bangalore"/>
    <s v="Contract"/>
    <n v="32000"/>
    <m/>
    <s v="Active"/>
    <n v="0"/>
    <n v="1"/>
    <n v="3.9611111111111112"/>
    <n v="27.666666666666668"/>
    <n v="2022"/>
    <x v="47"/>
    <s v=""/>
    <x v="0"/>
    <n v="1"/>
  </r>
  <r>
    <x v="71"/>
    <s v="Vikas Saini"/>
    <x v="0"/>
    <d v="1989-01-21T00:00:00"/>
    <d v="2016-04-01T00:00:00"/>
    <m/>
    <x v="4"/>
    <s v="Senior Executive"/>
    <s v="Meerut"/>
    <s v="Full-Time"/>
    <n v="68000"/>
    <m/>
    <s v="Active"/>
    <n v="0"/>
    <n v="1"/>
    <n v="9.8472222222222214"/>
    <n v="37.041666666666664"/>
    <n v="2016"/>
    <x v="48"/>
    <s v=""/>
    <x v="0"/>
    <n v="0"/>
  </r>
  <r>
    <x v="72"/>
    <s v="Preeti Malhotra"/>
    <x v="1"/>
    <d v="1996-05-13T00:00:00"/>
    <d v="2020-07-09T00:00:00"/>
    <m/>
    <x v="3"/>
    <s v="Executive"/>
    <s v="Gurgaon"/>
    <s v="Full-Time"/>
    <n v="43000"/>
    <m/>
    <s v="Active"/>
    <n v="0"/>
    <n v="1"/>
    <n v="5.5750000000000002"/>
    <n v="29.730555555555554"/>
    <n v="2020"/>
    <x v="11"/>
    <s v=""/>
    <x v="0"/>
    <n v="0"/>
  </r>
  <r>
    <x v="73"/>
    <s v="Srinivas Reddy"/>
    <x v="0"/>
    <d v="1985-04-04T00:00:00"/>
    <d v="2011-05-05T00:00:00"/>
    <m/>
    <x v="2"/>
    <s v="Director"/>
    <s v="Hyderabad"/>
    <s v="Full-Time"/>
    <n v="175000"/>
    <m/>
    <s v="Active"/>
    <n v="0"/>
    <n v="1"/>
    <n v="14.752777777777778"/>
    <n v="40.838888888888889"/>
    <n v="2011"/>
    <x v="49"/>
    <s v=""/>
    <x v="0"/>
    <n v="0"/>
  </r>
  <r>
    <x v="74"/>
    <s v="Aditi Chatterjee"/>
    <x v="1"/>
    <d v="1999-02-22T00:00:00"/>
    <d v="2022-08-01T00:00:00"/>
    <m/>
    <x v="1"/>
    <s v="Executive"/>
    <s v="Durgapur"/>
    <s v="Contract"/>
    <n v="30000"/>
    <m/>
    <s v="Active"/>
    <n v="0"/>
    <n v="1"/>
    <n v="3.5138888888888888"/>
    <n v="26.955555555555556"/>
    <n v="2022"/>
    <x v="50"/>
    <s v=""/>
    <x v="0"/>
    <n v="1"/>
  </r>
  <r>
    <x v="75"/>
    <s v="Naveen Kumar"/>
    <x v="0"/>
    <d v="1992-09-09T00:00:00"/>
    <d v="2019-01-15T00:00:00"/>
    <m/>
    <x v="4"/>
    <s v="Executive"/>
    <s v="Patna"/>
    <s v="Full-Time"/>
    <n v="46000"/>
    <m/>
    <s v="Active"/>
    <n v="0"/>
    <n v="1"/>
    <n v="7.0583333333333336"/>
    <n v="33.408333333333331"/>
    <n v="2019"/>
    <x v="51"/>
    <s v=""/>
    <x v="0"/>
    <n v="0"/>
  </r>
  <r>
    <x v="76"/>
    <s v="Priyal Shah"/>
    <x v="1"/>
    <d v="1994-12-18T00:00:00"/>
    <d v="2019-06-28T00:00:00"/>
    <m/>
    <x v="3"/>
    <s v="Manager"/>
    <s v="Ahmedabad"/>
    <s v="Full-Time"/>
    <n v="90000"/>
    <m/>
    <s v="Active"/>
    <n v="0"/>
    <n v="1"/>
    <n v="6.6055555555555552"/>
    <n v="31.133333333333333"/>
    <n v="2019"/>
    <x v="23"/>
    <s v=""/>
    <x v="0"/>
    <n v="0"/>
  </r>
  <r>
    <x v="77"/>
    <s v="Rohit Saxena"/>
    <x v="0"/>
    <d v="1988-03-03T00:00:00"/>
    <d v="2015-11-11T00:00:00"/>
    <m/>
    <x v="2"/>
    <s v="Senior Executive"/>
    <s v="Noida"/>
    <s v="Full-Time"/>
    <n v="74000"/>
    <m/>
    <s v="Active"/>
    <n v="0"/>
    <n v="1"/>
    <n v="10.236111111111111"/>
    <n v="37.924999999999997"/>
    <n v="2015"/>
    <x v="52"/>
    <s v=""/>
    <x v="0"/>
    <n v="0"/>
  </r>
  <r>
    <x v="78"/>
    <s v="Sushmita Sen"/>
    <x v="1"/>
    <d v="1997-07-27T00:00:00"/>
    <d v="2021-10-17T00:00:00"/>
    <m/>
    <x v="1"/>
    <s v="Executive"/>
    <s v="Mumbai"/>
    <s v="Full-Time"/>
    <n v="40000"/>
    <m/>
    <s v="Active"/>
    <n v="0"/>
    <n v="1"/>
    <n v="4.302777777777778"/>
    <n v="28.524999999999999"/>
    <n v="2021"/>
    <x v="13"/>
    <s v=""/>
    <x v="0"/>
    <n v="0"/>
  </r>
  <r>
    <x v="79"/>
    <s v="Anand Prakash"/>
    <x v="0"/>
    <d v="1986-01-01T00:00:00"/>
    <d v="2012-02-02T00:00:00"/>
    <m/>
    <x v="4"/>
    <s v="Manager"/>
    <s v="Ranchi"/>
    <s v="Full-Time"/>
    <n v="88000"/>
    <m/>
    <s v="Active"/>
    <n v="0"/>
    <n v="1"/>
    <n v="14.011111111111111"/>
    <n v="40.097222222222221"/>
    <n v="2012"/>
    <x v="53"/>
    <s v=""/>
    <x v="0"/>
    <n v="0"/>
  </r>
  <r>
    <x v="80"/>
    <s v="Shalini Gupta"/>
    <x v="1"/>
    <d v="1993-05-15T00:00:00"/>
    <d v="2019-04-08T00:00:00"/>
    <m/>
    <x v="3"/>
    <s v="Senior Executive"/>
    <s v="Delhi"/>
    <s v="Full-Time"/>
    <n v="62000"/>
    <m/>
    <s v="Active"/>
    <n v="0"/>
    <n v="1"/>
    <n v="6.8277777777777775"/>
    <n v="32.725000000000001"/>
    <n v="2019"/>
    <x v="20"/>
    <s v=""/>
    <x v="0"/>
    <n v="0"/>
  </r>
  <r>
    <x v="81"/>
    <s v="Rohit Menon"/>
    <x v="0"/>
    <d v="1990-11-19T00:00:00"/>
    <d v="2017-06-14T00:00:00"/>
    <m/>
    <x v="2"/>
    <s v="Manager"/>
    <s v="Kochi"/>
    <s v="Full-Time"/>
    <n v="97000"/>
    <m/>
    <s v="Active"/>
    <n v="0"/>
    <n v="1"/>
    <n v="8.6444444444444439"/>
    <n v="35.213888888888889"/>
    <n v="2017"/>
    <x v="45"/>
    <s v=""/>
    <x v="0"/>
    <n v="0"/>
  </r>
  <r>
    <x v="82"/>
    <s v="Kiranmai R"/>
    <x v="1"/>
    <d v="1998-08-06T00:00:00"/>
    <d v="2022-01-03T00:00:00"/>
    <m/>
    <x v="1"/>
    <s v="Executive"/>
    <s v="Vijayawada"/>
    <s v="Contract"/>
    <n v="31000"/>
    <m/>
    <s v="Active"/>
    <n v="0"/>
    <n v="1"/>
    <n v="4.0916666666666668"/>
    <n v="27.5"/>
    <n v="2022"/>
    <x v="22"/>
    <s v=""/>
    <x v="0"/>
    <n v="1"/>
  </r>
  <r>
    <x v="83"/>
    <s v="Sameer Khan"/>
    <x v="0"/>
    <d v="1987-02-12T00:00:00"/>
    <d v="2014-09-09T00:00:00"/>
    <m/>
    <x v="4"/>
    <s v="Senior Manager"/>
    <s v="Bhopal"/>
    <s v="Full-Time"/>
    <n v="120000"/>
    <m/>
    <s v="Active"/>
    <n v="0"/>
    <n v="1"/>
    <n v="11.408333333333333"/>
    <n v="38.983333333333334"/>
    <n v="2014"/>
    <x v="54"/>
    <s v=""/>
    <x v="0"/>
    <n v="0"/>
  </r>
  <r>
    <x v="84"/>
    <s v="Pallavi Kulkarni"/>
    <x v="1"/>
    <d v="1995-04-28T00:00:00"/>
    <d v="2020-06-20T00:00:00"/>
    <m/>
    <x v="3"/>
    <s v="Executive"/>
    <s v="Aurangabad"/>
    <s v="Full-Time"/>
    <n v="41000"/>
    <m/>
    <s v="Active"/>
    <n v="0"/>
    <n v="1"/>
    <n v="5.6277777777777782"/>
    <n v="30.772222222222222"/>
    <n v="2020"/>
    <x v="0"/>
    <s v=""/>
    <x v="0"/>
    <n v="0"/>
  </r>
  <r>
    <x v="85"/>
    <s v="Ajith Kumar"/>
    <x v="0"/>
    <d v="1989-07-07T00:00:00"/>
    <d v="2016-01-01T00:00:00"/>
    <m/>
    <x v="2"/>
    <s v="Senior Executive"/>
    <s v="Coimbatore"/>
    <s v="Full-Time"/>
    <n v="72000"/>
    <m/>
    <s v="Active"/>
    <n v="0"/>
    <n v="1"/>
    <n v="10.097222222222221"/>
    <n v="36.580555555555556"/>
    <n v="2016"/>
    <x v="27"/>
    <s v=""/>
    <x v="0"/>
    <n v="0"/>
  </r>
  <r>
    <x v="86"/>
    <s v="Rhea Mukherjee"/>
    <x v="1"/>
    <d v="1996-03-09T00:00:00"/>
    <d v="2020-08-11T00:00:00"/>
    <m/>
    <x v="1"/>
    <s v="Senior Executive"/>
    <s v="Kolkata"/>
    <s v="Full-Time"/>
    <n v="53000"/>
    <m/>
    <s v="Active"/>
    <n v="0"/>
    <n v="1"/>
    <n v="5.4861111111111107"/>
    <n v="29.908333333333335"/>
    <n v="2020"/>
    <x v="31"/>
    <s v=""/>
    <x v="0"/>
    <n v="0"/>
  </r>
  <r>
    <x v="87"/>
    <s v="Manoj Tiwari"/>
    <x v="0"/>
    <d v="1991-10-30T00:00:00"/>
    <d v="2018-02-14T00:00:00"/>
    <m/>
    <x v="4"/>
    <s v="Executive"/>
    <s v="Gorakhpur"/>
    <s v="Full-Time"/>
    <n v="48000"/>
    <m/>
    <s v="Active"/>
    <n v="0"/>
    <n v="1"/>
    <n v="7.9777777777777779"/>
    <n v="34.266666666666666"/>
    <n v="2018"/>
    <x v="43"/>
    <s v=""/>
    <x v="0"/>
    <n v="0"/>
  </r>
  <r>
    <x v="88"/>
    <s v="Nikita Desai"/>
    <x v="1"/>
    <d v="1994-01-17T00:00:00"/>
    <d v="2019-06-06T00:00:00"/>
    <m/>
    <x v="3"/>
    <s v="Manager"/>
    <s v="Surat"/>
    <s v="Full-Time"/>
    <n v="92000"/>
    <m/>
    <s v="Active"/>
    <n v="0"/>
    <n v="1"/>
    <n v="6.666666666666667"/>
    <n v="32.052777777777777"/>
    <n v="2019"/>
    <x v="23"/>
    <s v=""/>
    <x v="0"/>
    <n v="0"/>
  </r>
  <r>
    <x v="89"/>
    <s v="Abhishek S"/>
    <x v="0"/>
    <d v="1985-05-05T00:00:00"/>
    <d v="2011-03-03T00:00:00"/>
    <m/>
    <x v="2"/>
    <s v="Director"/>
    <s v="Mysore"/>
    <s v="Full-Time"/>
    <n v="168000"/>
    <m/>
    <s v="Active"/>
    <n v="0"/>
    <n v="1"/>
    <n v="14.925000000000001"/>
    <n v="40.75277777777778"/>
    <n v="2011"/>
    <x v="55"/>
    <s v=""/>
    <x v="0"/>
    <n v="0"/>
  </r>
  <r>
    <x v="90"/>
    <s v="Aishwarya Kulkarni"/>
    <x v="1"/>
    <d v="1999-09-23T00:00:00"/>
    <d v="2022-09-01T00:00:00"/>
    <m/>
    <x v="1"/>
    <s v="Executive"/>
    <s v="Pune"/>
    <s v="Contract"/>
    <n v="30000"/>
    <m/>
    <s v="Active"/>
    <n v="0"/>
    <n v="1"/>
    <n v="3.4305555555555554"/>
    <n v="26.369444444444444"/>
    <n v="2022"/>
    <x v="56"/>
    <s v=""/>
    <x v="0"/>
    <n v="1"/>
  </r>
  <r>
    <x v="91"/>
    <s v="Rajeev Verma"/>
    <x v="0"/>
    <d v="1988-04-14T00:00:00"/>
    <d v="2016-10-10T00:00:00"/>
    <m/>
    <x v="4"/>
    <s v="Senior Executive"/>
    <s v="Varanasi"/>
    <s v="Full-Time"/>
    <n v="70000"/>
    <m/>
    <s v="Active"/>
    <n v="0"/>
    <n v="1"/>
    <n v="9.3222222222222229"/>
    <n v="37.81111111111111"/>
    <n v="2016"/>
    <x v="57"/>
    <s v=""/>
    <x v="0"/>
    <n v="0"/>
  </r>
  <r>
    <x v="92"/>
    <s v="Shweta Mishra"/>
    <x v="1"/>
    <d v="1997-02-02T00:00:00"/>
    <d v="2021-07-19T00:00:00"/>
    <m/>
    <x v="3"/>
    <s v="Executive"/>
    <s v="Allahabad"/>
    <s v="Full-Time"/>
    <n v="39000"/>
    <m/>
    <s v="Active"/>
    <n v="0"/>
    <n v="1"/>
    <n v="4.5472222222222225"/>
    <n v="29.011111111111113"/>
    <n v="2021"/>
    <x v="58"/>
    <s v=""/>
    <x v="0"/>
    <n v="0"/>
  </r>
  <r>
    <x v="93"/>
    <s v="Kunal Mehta"/>
    <x v="0"/>
    <d v="1993-11-11T00:00:00"/>
    <d v="2019-01-22T00:00:00"/>
    <m/>
    <x v="2"/>
    <s v="Executive"/>
    <s v="Mumbai"/>
    <s v="Full-Time"/>
    <n v="46000"/>
    <m/>
    <s v="Active"/>
    <n v="0"/>
    <n v="1"/>
    <n v="7.0388888888888888"/>
    <n v="32.236111111111114"/>
    <n v="2019"/>
    <x v="51"/>
    <s v=""/>
    <x v="0"/>
    <n v="0"/>
  </r>
  <r>
    <x v="94"/>
    <s v="Ritika Jain"/>
    <x v="1"/>
    <d v="1995-06-08T00:00:00"/>
    <d v="2020-05-15T00:00:00"/>
    <m/>
    <x v="1"/>
    <s v="Executive"/>
    <s v="Indore"/>
    <s v="Full-Time"/>
    <n v="42000"/>
    <m/>
    <s v="Active"/>
    <n v="0"/>
    <n v="1"/>
    <n v="5.7249999999999996"/>
    <n v="30.661111111111111"/>
    <n v="2020"/>
    <x v="59"/>
    <s v=""/>
    <x v="0"/>
    <n v="0"/>
  </r>
  <r>
    <x v="95"/>
    <s v="Sanjay Rao"/>
    <x v="0"/>
    <d v="1987-08-25T00:00:00"/>
    <d v="2014-09-09T00:00:00"/>
    <m/>
    <x v="4"/>
    <s v="Manager"/>
    <s v="Udupi"/>
    <s v="Full-Time"/>
    <n v="89000"/>
    <m/>
    <s v="Active"/>
    <n v="0"/>
    <n v="1"/>
    <n v="11.408333333333333"/>
    <n v="38.447222222222223"/>
    <n v="2014"/>
    <x v="54"/>
    <s v=""/>
    <x v="0"/>
    <n v="0"/>
  </r>
  <r>
    <x v="96"/>
    <s v="Namrata Singh"/>
    <x v="1"/>
    <d v="1996-10-18T00:00:00"/>
    <d v="2021-08-01T00:00:00"/>
    <m/>
    <x v="3"/>
    <s v="Senior Executive"/>
    <s v="Lucknow"/>
    <s v="Full-Time"/>
    <n v="61000"/>
    <m/>
    <s v="Active"/>
    <n v="0"/>
    <n v="1"/>
    <n v="4.5138888888888893"/>
    <n v="29.3"/>
    <n v="2021"/>
    <x v="3"/>
    <s v=""/>
    <x v="0"/>
    <n v="0"/>
  </r>
  <r>
    <x v="97"/>
    <s v="Vinod Kumar"/>
    <x v="0"/>
    <d v="1990-01-01T00:00:00"/>
    <d v="2017-12-12T00:00:00"/>
    <m/>
    <x v="2"/>
    <s v="Senior Manager"/>
    <s v="Madurai"/>
    <s v="Full-Time"/>
    <n v="108000"/>
    <m/>
    <s v="Active"/>
    <n v="0"/>
    <n v="1"/>
    <n v="8.15"/>
    <n v="36.097222222222221"/>
    <n v="2017"/>
    <x v="60"/>
    <s v=""/>
    <x v="0"/>
    <n v="0"/>
  </r>
  <r>
    <x v="98"/>
    <s v="Alka Verma"/>
    <x v="1"/>
    <d v="1998-03-27T00:00:00"/>
    <d v="2022-02-05T00:00:00"/>
    <m/>
    <x v="1"/>
    <s v="Executive"/>
    <s v="Faridabad"/>
    <s v="Contract"/>
    <n v="32000"/>
    <m/>
    <s v="Active"/>
    <n v="0"/>
    <n v="1"/>
    <n v="4.0027777777777782"/>
    <n v="27.858333333333334"/>
    <n v="2022"/>
    <x v="47"/>
    <s v=""/>
    <x v="0"/>
    <n v="1"/>
  </r>
  <r>
    <x v="99"/>
    <s v="Rakesh Patel"/>
    <x v="0"/>
    <d v="1984-06-06T00:00:00"/>
    <d v="2009-10-10T00:00:00"/>
    <m/>
    <x v="4"/>
    <s v="Director"/>
    <s v="Vadodara"/>
    <s v="Full-Time"/>
    <n v="170000"/>
    <m/>
    <s v="Active"/>
    <n v="0"/>
    <n v="1"/>
    <n v="16.322222222222223"/>
    <n v="41.666666666666664"/>
    <n v="2009"/>
    <x v="61"/>
    <s v=""/>
    <x v="0"/>
    <n v="0"/>
  </r>
  <r>
    <x v="100"/>
    <s v="Suresh Naidu"/>
    <x v="0"/>
    <d v="1991-04-12T00:00:00"/>
    <d v="2018-06-05T00:00:00"/>
    <m/>
    <x v="2"/>
    <s v="Executive"/>
    <s v="Visakhapatnam"/>
    <s v="Full-Time"/>
    <n v="47000"/>
    <m/>
    <s v="Active"/>
    <n v="0"/>
    <n v="1"/>
    <n v="7.6694444444444443"/>
    <n v="34.81666666666667"/>
    <n v="2018"/>
    <x v="62"/>
    <s v=""/>
    <x v="0"/>
    <n v="0"/>
  </r>
  <r>
    <x v="101"/>
    <s v="Priyanka R"/>
    <x v="1"/>
    <d v="1996-08-21T00:00:00"/>
    <d v="2020-07-19T00:00:00"/>
    <m/>
    <x v="1"/>
    <s v="Executive"/>
    <s v="Chennai"/>
    <s v="Full-Time"/>
    <n v="42000"/>
    <m/>
    <s v="Active"/>
    <n v="0"/>
    <n v="1"/>
    <n v="5.5472222222222225"/>
    <n v="29.458333333333332"/>
    <n v="2020"/>
    <x v="11"/>
    <s v=""/>
    <x v="0"/>
    <n v="0"/>
  </r>
  <r>
    <x v="102"/>
    <s v="Rahul Jain"/>
    <x v="0"/>
    <d v="1989-03-03T00:00:00"/>
    <d v="2016-01-01T00:00:00"/>
    <m/>
    <x v="3"/>
    <s v="Manager"/>
    <s v="Bhopal"/>
    <s v="Full-Time"/>
    <n v="90000"/>
    <m/>
    <s v="Active"/>
    <n v="0"/>
    <n v="1"/>
    <n v="10.097222222222221"/>
    <n v="36.924999999999997"/>
    <n v="2016"/>
    <x v="27"/>
    <s v=""/>
    <x v="0"/>
    <n v="0"/>
  </r>
  <r>
    <x v="103"/>
    <s v="Sneha Kulkarni"/>
    <x v="1"/>
    <d v="1997-09-17T00:00:00"/>
    <d v="2021-10-10T00:00:00"/>
    <m/>
    <x v="2"/>
    <s v="Executive"/>
    <s v="Pune"/>
    <s v="Contract"/>
    <n v="34000"/>
    <m/>
    <s v="Active"/>
    <n v="0"/>
    <n v="1"/>
    <n v="4.322222222222222"/>
    <n v="28.386111111111113"/>
    <n v="2021"/>
    <x v="13"/>
    <s v=""/>
    <x v="0"/>
    <n v="1"/>
  </r>
  <r>
    <x v="104"/>
    <s v="Manpreet Singh"/>
    <x v="0"/>
    <d v="1986-11-11T00:00:00"/>
    <d v="2014-05-15T00:00:00"/>
    <m/>
    <x v="4"/>
    <s v="Senior Manager"/>
    <s v="Amritsar"/>
    <s v="Full-Time"/>
    <n v="118000"/>
    <m/>
    <s v="Active"/>
    <n v="0"/>
    <n v="1"/>
    <n v="11.725"/>
    <n v="39.236111111111114"/>
    <n v="2014"/>
    <x v="63"/>
    <s v=""/>
    <x v="0"/>
    <n v="0"/>
  </r>
  <r>
    <x v="105"/>
    <s v="Divya Agarwal"/>
    <x v="1"/>
    <d v="1995-02-08T00:00:00"/>
    <d v="2019-06-20T00:00:00"/>
    <m/>
    <x v="3"/>
    <s v="Executive"/>
    <s v="Noida"/>
    <s v="Full-Time"/>
    <n v="44000"/>
    <m/>
    <s v="Active"/>
    <n v="0"/>
    <n v="1"/>
    <n v="6.6277777777777782"/>
    <n v="30.994444444444444"/>
    <n v="2019"/>
    <x v="23"/>
    <s v=""/>
    <x v="0"/>
    <n v="0"/>
  </r>
  <r>
    <x v="106"/>
    <s v="Karthik R"/>
    <x v="0"/>
    <d v="1992-06-26T00:00:00"/>
    <d v="2018-03-18T00:00:00"/>
    <m/>
    <x v="2"/>
    <s v="Senior Executive"/>
    <s v="Chennai"/>
    <s v="Full-Time"/>
    <n v="72000"/>
    <m/>
    <s v="Active"/>
    <n v="0"/>
    <n v="1"/>
    <n v="7.8833333333333337"/>
    <n v="33.611111111111114"/>
    <n v="2018"/>
    <x v="8"/>
    <s v=""/>
    <x v="0"/>
    <n v="0"/>
  </r>
  <r>
    <x v="107"/>
    <s v="Renu Mishra"/>
    <x v="1"/>
    <d v="1998-04-04T00:00:00"/>
    <d v="2022-01-12T00:00:00"/>
    <m/>
    <x v="1"/>
    <s v="Executive"/>
    <s v="Kanpur"/>
    <s v="Contract"/>
    <n v="30000"/>
    <m/>
    <s v="Active"/>
    <n v="0"/>
    <n v="1"/>
    <n v="4.0666666666666664"/>
    <n v="27.838888888888889"/>
    <n v="2022"/>
    <x v="22"/>
    <s v=""/>
    <x v="0"/>
    <n v="1"/>
  </r>
  <r>
    <x v="108"/>
    <s v="Shyam Lal"/>
    <x v="0"/>
    <d v="1987-09-19T00:00:00"/>
    <d v="2015-07-07T00:00:00"/>
    <m/>
    <x v="4"/>
    <s v="Manager"/>
    <s v="Alwar"/>
    <s v="Full-Time"/>
    <n v="86000"/>
    <m/>
    <s v="Active"/>
    <n v="0"/>
    <n v="1"/>
    <n v="10.580555555555556"/>
    <n v="38.380555555555553"/>
    <n v="2015"/>
    <x v="64"/>
    <s v=""/>
    <x v="0"/>
    <n v="0"/>
  </r>
  <r>
    <x v="109"/>
    <s v="Nisha Verma"/>
    <x v="1"/>
    <d v="1994-10-30T00:00:00"/>
    <d v="2019-08-25T00:00:00"/>
    <m/>
    <x v="3"/>
    <s v="Senior Executive"/>
    <s v="Gurgaon"/>
    <s v="Full-Time"/>
    <n v="61000"/>
    <m/>
    <s v="Active"/>
    <n v="0"/>
    <n v="1"/>
    <n v="6.447222222222222"/>
    <n v="31.266666666666666"/>
    <n v="2019"/>
    <x v="65"/>
    <s v=""/>
    <x v="0"/>
    <n v="0"/>
  </r>
  <r>
    <x v="110"/>
    <s v="Ajay Shekhar"/>
    <x v="0"/>
    <d v="1990-01-14T00:00:00"/>
    <d v="2017-04-01T00:00:00"/>
    <m/>
    <x v="2"/>
    <s v="Manager"/>
    <s v="Raipur"/>
    <s v="Full-Time"/>
    <n v="94000"/>
    <m/>
    <s v="Active"/>
    <n v="0"/>
    <n v="1"/>
    <n v="8.8472222222222214"/>
    <n v="36.06111111111111"/>
    <n v="2017"/>
    <x v="36"/>
    <s v=""/>
    <x v="0"/>
    <n v="0"/>
  </r>
  <r>
    <x v="111"/>
    <s v="Pallavi Joshi"/>
    <x v="1"/>
    <d v="1996-05-05T00:00:00"/>
    <d v="2020-09-09T00:00:00"/>
    <m/>
    <x v="1"/>
    <s v="Executive"/>
    <s v="Ujjain"/>
    <s v="Full-Time"/>
    <n v="41000"/>
    <m/>
    <s v="Active"/>
    <n v="0"/>
    <n v="1"/>
    <n v="5.4083333333333332"/>
    <n v="29.752777777777776"/>
    <n v="2020"/>
    <x v="26"/>
    <s v=""/>
    <x v="0"/>
    <n v="0"/>
  </r>
  <r>
    <x v="112"/>
    <s v="Sachin Deshpande"/>
    <x v="0"/>
    <d v="1988-12-18T00:00:00"/>
    <d v="2016-11-11T00:00:00"/>
    <m/>
    <x v="4"/>
    <s v="Senior Executive"/>
    <s v="Satara"/>
    <s v="Full-Time"/>
    <n v="70000"/>
    <m/>
    <s v="Active"/>
    <n v="0"/>
    <n v="1"/>
    <n v="9.2361111111111107"/>
    <n v="37.133333333333333"/>
    <n v="2016"/>
    <x v="32"/>
    <s v=""/>
    <x v="0"/>
    <n v="0"/>
  </r>
  <r>
    <x v="113"/>
    <s v="Aishwarya P"/>
    <x v="1"/>
    <d v="1999-07-27T00:00:00"/>
    <d v="2022-09-01T00:00:00"/>
    <m/>
    <x v="3"/>
    <s v="Executive"/>
    <s v="Salem"/>
    <s v="Contract"/>
    <n v="32000"/>
    <m/>
    <s v="Active"/>
    <n v="0"/>
    <n v="1"/>
    <n v="3.4305555555555554"/>
    <n v="26.524999999999999"/>
    <n v="2022"/>
    <x v="56"/>
    <s v=""/>
    <x v="0"/>
    <n v="1"/>
  </r>
  <r>
    <x v="114"/>
    <s v="Venkatesh Reddy"/>
    <x v="0"/>
    <d v="1985-09-09T00:00:00"/>
    <d v="2012-03-15T00:00:00"/>
    <m/>
    <x v="2"/>
    <s v="Senior Manager"/>
    <s v="Nellore"/>
    <s v="Full-Time"/>
    <n v="112000"/>
    <m/>
    <s v="Active"/>
    <n v="0"/>
    <n v="1"/>
    <n v="13.891666666666667"/>
    <n v="40.408333333333331"/>
    <n v="2012"/>
    <x v="66"/>
    <s v=""/>
    <x v="0"/>
    <n v="0"/>
  </r>
  <r>
    <x v="115"/>
    <s v="Neha Arora"/>
    <x v="1"/>
    <d v="1997-02-22T00:00:00"/>
    <d v="2021-07-18T00:00:00"/>
    <m/>
    <x v="1"/>
    <s v="Executive"/>
    <s v="Ambala"/>
    <s v="Full-Time"/>
    <n v="38000"/>
    <m/>
    <s v="Active"/>
    <n v="0"/>
    <n v="1"/>
    <n v="4.55"/>
    <n v="28.955555555555556"/>
    <n v="2021"/>
    <x v="58"/>
    <s v=""/>
    <x v="0"/>
    <n v="0"/>
  </r>
  <r>
    <x v="116"/>
    <s v="Rajeev Saxena"/>
    <x v="0"/>
    <d v="1984-01-01T00:00:00"/>
    <d v="2009-10-10T00:00:00"/>
    <m/>
    <x v="4"/>
    <s v="Director"/>
    <s v="Gwalior"/>
    <s v="Full-Time"/>
    <n v="168000"/>
    <m/>
    <s v="Active"/>
    <n v="0"/>
    <n v="1"/>
    <n v="16.322222222222223"/>
    <n v="42.097222222222221"/>
    <n v="2009"/>
    <x v="61"/>
    <s v=""/>
    <x v="0"/>
    <n v="0"/>
  </r>
  <r>
    <x v="117"/>
    <s v="Kirti Malhotra"/>
    <x v="1"/>
    <d v="1995-06-12T00:00:00"/>
    <d v="2020-04-05T00:00:00"/>
    <m/>
    <x v="3"/>
    <s v="Senior Executive"/>
    <s v="Panipat"/>
    <s v="Full-Time"/>
    <n v="62000"/>
    <m/>
    <s v="Active"/>
    <n v="0"/>
    <n v="1"/>
    <n v="5.8361111111111112"/>
    <n v="30.65"/>
    <n v="2020"/>
    <x v="4"/>
    <s v=""/>
    <x v="0"/>
    <n v="0"/>
  </r>
  <r>
    <x v="118"/>
    <s v="Anil Kumar"/>
    <x v="0"/>
    <d v="1991-08-28T00:00:00"/>
    <d v="2018-08-01T00:00:00"/>
    <m/>
    <x v="2"/>
    <s v="Executive"/>
    <s v="Warangal"/>
    <s v="Full-Time"/>
    <n v="48000"/>
    <m/>
    <s v="Active"/>
    <n v="0"/>
    <n v="1"/>
    <n v="7.5138888888888893"/>
    <n v="34.43888888888889"/>
    <n v="2018"/>
    <x v="67"/>
    <s v=""/>
    <x v="0"/>
    <n v="0"/>
  </r>
  <r>
    <x v="119"/>
    <s v="Sonal Trivedi"/>
    <x v="1"/>
    <d v="1998-01-16T00:00:00"/>
    <d v="2022-01-20T00:00:00"/>
    <m/>
    <x v="1"/>
    <s v="Executive"/>
    <s v="Anand"/>
    <s v="Contract"/>
    <n v="31000"/>
    <m/>
    <s v="Active"/>
    <n v="0"/>
    <n v="1"/>
    <n v="4.0444444444444443"/>
    <n v="28.055555555555557"/>
    <n v="2022"/>
    <x v="22"/>
    <s v=""/>
    <x v="0"/>
    <n v="1"/>
  </r>
  <r>
    <x v="120"/>
    <s v="Pradeep Chauhan"/>
    <x v="0"/>
    <d v="1989-06-06T00:00:00"/>
    <d v="2016-12-12T00:00:00"/>
    <m/>
    <x v="4"/>
    <s v="Manager"/>
    <s v="Shimla"/>
    <s v="Full-Time"/>
    <n v="88000"/>
    <m/>
    <s v="Active"/>
    <n v="0"/>
    <n v="1"/>
    <n v="9.15"/>
    <n v="36.666666666666664"/>
    <n v="2016"/>
    <x v="68"/>
    <s v=""/>
    <x v="0"/>
    <n v="0"/>
  </r>
  <r>
    <x v="121"/>
    <s v="Megha Jain"/>
    <x v="1"/>
    <d v="1996-03-03T00:00:00"/>
    <d v="2020-05-15T00:00:00"/>
    <m/>
    <x v="3"/>
    <s v="Executive"/>
    <s v="Jhansi"/>
    <s v="Full-Time"/>
    <n v="43000"/>
    <m/>
    <s v="Active"/>
    <n v="0"/>
    <n v="1"/>
    <n v="5.7249999999999996"/>
    <n v="29.925000000000001"/>
    <n v="2020"/>
    <x v="59"/>
    <s v=""/>
    <x v="0"/>
    <n v="0"/>
  </r>
  <r>
    <x v="122"/>
    <s v="Amit Kulkarni"/>
    <x v="0"/>
    <d v="1992-11-19T00:00:00"/>
    <d v="2019-07-07T00:00:00"/>
    <m/>
    <x v="2"/>
    <s v="Senior Executive"/>
    <s v="Solapur"/>
    <s v="Full-Time"/>
    <n v="69000"/>
    <m/>
    <s v="Active"/>
    <n v="0"/>
    <n v="1"/>
    <n v="6.5805555555555557"/>
    <n v="33.213888888888889"/>
    <n v="2019"/>
    <x v="1"/>
    <s v=""/>
    <x v="0"/>
    <n v="0"/>
  </r>
  <r>
    <x v="123"/>
    <s v="Pooja Rathore"/>
    <x v="1"/>
    <d v="1999-04-25T00:00:00"/>
    <d v="2022-10-03T00:00:00"/>
    <m/>
    <x v="1"/>
    <s v="Executive"/>
    <s v="Dewas"/>
    <s v="Contract"/>
    <n v="30000"/>
    <m/>
    <s v="Active"/>
    <n v="0"/>
    <n v="1"/>
    <n v="3.3416666666666668"/>
    <n v="26.780555555555555"/>
    <n v="2022"/>
    <x v="69"/>
    <s v=""/>
    <x v="0"/>
    <n v="1"/>
  </r>
  <r>
    <x v="124"/>
    <s v="Sanjay Mishra"/>
    <x v="0"/>
    <d v="1987-02-11T00:00:00"/>
    <d v="2015-01-01T00:00:00"/>
    <m/>
    <x v="4"/>
    <s v="Senior Manager"/>
    <s v="Basti"/>
    <s v="Full-Time"/>
    <n v="120000"/>
    <m/>
    <s v="Active"/>
    <n v="0"/>
    <n v="1"/>
    <n v="11.097222222222221"/>
    <n v="38.986111111111114"/>
    <n v="2015"/>
    <x v="41"/>
    <s v=""/>
    <x v="0"/>
    <n v="0"/>
  </r>
  <r>
    <x v="125"/>
    <s v="Ritika Bansal"/>
    <x v="1"/>
    <d v="1994-08-08T00:00:00"/>
    <d v="2019-09-09T00:00:00"/>
    <m/>
    <x v="3"/>
    <s v="Manager"/>
    <s v="Rewari"/>
    <s v="Full-Time"/>
    <n v="91000"/>
    <m/>
    <s v="Active"/>
    <n v="0"/>
    <n v="1"/>
    <n v="6.4083333333333332"/>
    <n v="31.494444444444444"/>
    <n v="2019"/>
    <x v="42"/>
    <s v=""/>
    <x v="0"/>
    <n v="0"/>
  </r>
  <r>
    <x v="126"/>
    <s v="Manoj K"/>
    <x v="0"/>
    <d v="1990-07-17T00:00:00"/>
    <d v="2017-02-14T00:00:00"/>
    <m/>
    <x v="2"/>
    <s v="Manager"/>
    <s v="Tiruppur"/>
    <s v="Full-Time"/>
    <n v="96000"/>
    <m/>
    <s v="Active"/>
    <n v="0"/>
    <n v="1"/>
    <n v="8.9777777777777779"/>
    <n v="35.552777777777777"/>
    <n v="2017"/>
    <x v="6"/>
    <s v=""/>
    <x v="0"/>
    <n v="0"/>
  </r>
  <r>
    <x v="127"/>
    <s v="Aditi Pandey"/>
    <x v="1"/>
    <d v="1997-03-21T00:00:00"/>
    <d v="2021-06-05T00:00:00"/>
    <m/>
    <x v="1"/>
    <s v="Executive"/>
    <s v="Prayagraj"/>
    <s v="Full-Time"/>
    <n v="39000"/>
    <m/>
    <s v="Active"/>
    <n v="0"/>
    <n v="1"/>
    <n v="4.6694444444444443"/>
    <n v="28.875"/>
    <n v="2021"/>
    <x v="70"/>
    <s v=""/>
    <x v="0"/>
    <n v="0"/>
  </r>
  <r>
    <x v="128"/>
    <s v="Prakash Patil"/>
    <x v="0"/>
    <d v="1986-09-30T00:00:00"/>
    <d v="2014-03-18T00:00:00"/>
    <m/>
    <x v="4"/>
    <s v="Director"/>
    <s v="Sangli"/>
    <s v="Full-Time"/>
    <n v="165000"/>
    <m/>
    <s v="Active"/>
    <n v="0"/>
    <n v="1"/>
    <n v="11.883333333333333"/>
    <n v="39.35"/>
    <n v="2014"/>
    <x v="35"/>
    <s v=""/>
    <x v="0"/>
    <n v="0"/>
  </r>
  <r>
    <x v="129"/>
    <s v="Swati Kulkarni"/>
    <x v="1"/>
    <d v="1995-05-09T00:00:00"/>
    <d v="2020-07-22T00:00:00"/>
    <m/>
    <x v="3"/>
    <s v="Senior Executive"/>
    <s v="Kolhapur"/>
    <s v="Full-Time"/>
    <n v="60000"/>
    <m/>
    <s v="Active"/>
    <n v="0"/>
    <n v="1"/>
    <n v="5.5388888888888888"/>
    <n v="30.741666666666667"/>
    <n v="2020"/>
    <x v="11"/>
    <s v=""/>
    <x v="0"/>
    <n v="0"/>
  </r>
  <r>
    <x v="130"/>
    <s v="Ravi Teja"/>
    <x v="0"/>
    <d v="1993-01-01T00:00:00"/>
    <d v="2020-01-01T00:00:00"/>
    <m/>
    <x v="2"/>
    <s v="Executive"/>
    <s v="Guntur"/>
    <s v="Full-Time"/>
    <n v="46000"/>
    <m/>
    <s v="Active"/>
    <n v="0"/>
    <n v="1"/>
    <n v="6.0972222222222223"/>
    <n v="33.097222222222221"/>
    <n v="2020"/>
    <x v="9"/>
    <s v=""/>
    <x v="0"/>
    <n v="0"/>
  </r>
  <r>
    <x v="131"/>
    <s v="Ishani Ghosh"/>
    <x v="1"/>
    <d v="1998-10-14T00:00:00"/>
    <d v="2022-02-15T00:00:00"/>
    <m/>
    <x v="1"/>
    <s v="Executive"/>
    <s v="Howrah"/>
    <s v="Contract"/>
    <n v="32000"/>
    <m/>
    <s v="Active"/>
    <n v="0"/>
    <n v="1"/>
    <n v="3.9750000000000001"/>
    <n v="27.31111111111111"/>
    <n v="2022"/>
    <x v="47"/>
    <s v=""/>
    <x v="0"/>
    <n v="1"/>
  </r>
  <r>
    <x v="132"/>
    <s v="Mukesh Yadav"/>
    <x v="0"/>
    <d v="1989-04-04T00:00:00"/>
    <d v="2016-07-07T00:00:00"/>
    <m/>
    <x v="4"/>
    <s v="Manager"/>
    <s v="Ballia"/>
    <s v="Full-Time"/>
    <n v="85000"/>
    <m/>
    <s v="Active"/>
    <n v="0"/>
    <n v="1"/>
    <n v="9.5805555555555557"/>
    <n v="36.838888888888889"/>
    <n v="2016"/>
    <x v="71"/>
    <s v=""/>
    <x v="0"/>
    <n v="0"/>
  </r>
  <r>
    <x v="133"/>
    <s v="Shraddha Pawar"/>
    <x v="1"/>
    <d v="1996-06-18T00:00:00"/>
    <d v="2020-08-20T00:00:00"/>
    <m/>
    <x v="3"/>
    <s v="Executive"/>
    <s v="Nanded"/>
    <s v="Full-Time"/>
    <n v="42000"/>
    <m/>
    <s v="Active"/>
    <n v="0"/>
    <n v="1"/>
    <n v="5.4611111111111112"/>
    <n v="29.633333333333333"/>
    <n v="2020"/>
    <x v="31"/>
    <s v=""/>
    <x v="0"/>
    <n v="0"/>
  </r>
  <r>
    <x v="134"/>
    <s v="Kiran Rao"/>
    <x v="0"/>
    <d v="1985-12-29T00:00:00"/>
    <d v="2012-10-10T00:00:00"/>
    <m/>
    <x v="2"/>
    <s v="Senior Manager"/>
    <s v="Rajahmundry"/>
    <s v="Full-Time"/>
    <n v="110000"/>
    <m/>
    <s v="Active"/>
    <n v="0"/>
    <n v="1"/>
    <n v="13.322222222222223"/>
    <n v="40.102777777777774"/>
    <n v="2012"/>
    <x v="25"/>
    <s v=""/>
    <x v="0"/>
    <n v="0"/>
  </r>
  <r>
    <x v="135"/>
    <s v="Priyal Mehta"/>
    <x v="1"/>
    <d v="1999-02-02T00:00:00"/>
    <d v="2022-09-01T00:00:00"/>
    <m/>
    <x v="1"/>
    <s v="Executive"/>
    <s v="Valsad"/>
    <s v="Contract"/>
    <n v="30000"/>
    <m/>
    <s v="Active"/>
    <n v="0"/>
    <n v="1"/>
    <n v="3.4305555555555554"/>
    <n v="27.011111111111113"/>
    <n v="2022"/>
    <x v="56"/>
    <s v=""/>
    <x v="0"/>
    <n v="1"/>
  </r>
  <r>
    <x v="136"/>
    <s v="Dilip Kumar"/>
    <x v="0"/>
    <d v="1988-07-07T00:00:00"/>
    <d v="2015-05-05T00:00:00"/>
    <m/>
    <x v="4"/>
    <s v="Senior Executive"/>
    <s v="Siwan"/>
    <s v="Full-Time"/>
    <n v="71000"/>
    <m/>
    <s v="Active"/>
    <n v="0"/>
    <n v="1"/>
    <n v="10.752777777777778"/>
    <n v="37.580555555555556"/>
    <n v="2015"/>
    <x v="72"/>
    <s v=""/>
    <x v="0"/>
    <n v="0"/>
  </r>
  <r>
    <x v="137"/>
    <s v="Neetu Sharma"/>
    <x v="1"/>
    <d v="1994-01-15T00:00:00"/>
    <d v="2019-06-18T00:00:00"/>
    <m/>
    <x v="3"/>
    <s v="Senior Executive"/>
    <s v="Hisar"/>
    <s v="Full-Time"/>
    <n v="63000"/>
    <m/>
    <s v="Active"/>
    <n v="0"/>
    <n v="1"/>
    <n v="6.6333333333333337"/>
    <n v="32.05833333333333"/>
    <n v="2019"/>
    <x v="23"/>
    <s v=""/>
    <x v="0"/>
    <n v="0"/>
  </r>
  <r>
    <x v="138"/>
    <s v="Satish R"/>
    <x v="0"/>
    <d v="1991-03-23T00:00:00"/>
    <d v="2018-04-01T00:00:00"/>
    <m/>
    <x v="2"/>
    <s v="Executive"/>
    <s v="Karur"/>
    <s v="Full-Time"/>
    <n v="47000"/>
    <m/>
    <s v="Active"/>
    <n v="0"/>
    <n v="1"/>
    <n v="7.8472222222222223"/>
    <n v="34.869444444444447"/>
    <n v="2018"/>
    <x v="73"/>
    <s v=""/>
    <x v="0"/>
    <n v="0"/>
  </r>
  <r>
    <x v="139"/>
    <s v="Saima Khan"/>
    <x v="1"/>
    <d v="1997-09-09T00:00:00"/>
    <d v="2021-11-11T00:00:00"/>
    <m/>
    <x v="1"/>
    <s v="Executive"/>
    <s v="Moradabad"/>
    <s v="Full-Time"/>
    <n v="38000"/>
    <m/>
    <s v="Active"/>
    <n v="0"/>
    <n v="1"/>
    <n v="4.2361111111111107"/>
    <n v="28.408333333333335"/>
    <n v="2021"/>
    <x v="18"/>
    <s v=""/>
    <x v="0"/>
    <n v="0"/>
  </r>
  <r>
    <x v="140"/>
    <s v="Arun Pratap"/>
    <x v="0"/>
    <d v="1986-08-28T00:00:00"/>
    <d v="2014-01-01T00:00:00"/>
    <m/>
    <x v="4"/>
    <s v="Manager"/>
    <s v="Chitrakoot"/>
    <s v="Full-Time"/>
    <n v="89000"/>
    <m/>
    <s v="Active"/>
    <n v="0"/>
    <n v="1"/>
    <n v="12.097222222222221"/>
    <n v="39.43888888888889"/>
    <n v="2014"/>
    <x v="74"/>
    <s v=""/>
    <x v="0"/>
    <n v="0"/>
  </r>
  <r>
    <x v="141"/>
    <s v="Ruchi Verma"/>
    <x v="1"/>
    <d v="1995-12-12T00:00:00"/>
    <d v="2020-02-14T00:00:00"/>
    <m/>
    <x v="3"/>
    <s v="Executive"/>
    <s v="Saharanpur"/>
    <s v="Full-Time"/>
    <n v="44000"/>
    <m/>
    <s v="Active"/>
    <n v="0"/>
    <n v="1"/>
    <n v="5.9777777777777779"/>
    <n v="30.15"/>
    <n v="2020"/>
    <x v="75"/>
    <s v=""/>
    <x v="0"/>
    <n v="0"/>
  </r>
  <r>
    <x v="142"/>
    <s v="Suresh B"/>
    <x v="0"/>
    <d v="1990-06-06T00:00:00"/>
    <d v="2017-09-09T00:00:00"/>
    <m/>
    <x v="2"/>
    <s v="Senior Executive"/>
    <s v="Erode"/>
    <s v="Full-Time"/>
    <n v="70000"/>
    <m/>
    <s v="Active"/>
    <n v="0"/>
    <n v="1"/>
    <n v="8.4083333333333332"/>
    <n v="35.666666666666664"/>
    <n v="2017"/>
    <x v="76"/>
    <s v=""/>
    <x v="0"/>
    <n v="0"/>
  </r>
  <r>
    <x v="143"/>
    <s v="Aakanksha Jain"/>
    <x v="1"/>
    <d v="1998-04-19T00:00:00"/>
    <d v="2022-08-01T00:00:00"/>
    <m/>
    <x v="1"/>
    <s v="Executive"/>
    <s v="Ratlam"/>
    <s v="Contract"/>
    <n v="30000"/>
    <m/>
    <s v="Active"/>
    <n v="0"/>
    <n v="1"/>
    <n v="3.5138888888888888"/>
    <n v="27.797222222222221"/>
    <n v="2022"/>
    <x v="50"/>
    <s v=""/>
    <x v="0"/>
    <n v="1"/>
  </r>
  <r>
    <x v="144"/>
    <s v="Rameshwar Singh"/>
    <x v="0"/>
    <d v="1984-10-10T00:00:00"/>
    <d v="2011-03-03T00:00:00"/>
    <m/>
    <x v="4"/>
    <s v="Director"/>
    <s v="Rewa"/>
    <s v="Full-Time"/>
    <n v="170000"/>
    <m/>
    <s v="Active"/>
    <n v="0"/>
    <n v="1"/>
    <n v="14.925000000000001"/>
    <n v="41.322222222222223"/>
    <n v="2011"/>
    <x v="55"/>
    <s v=""/>
    <x v="0"/>
    <n v="0"/>
  </r>
  <r>
    <x v="145"/>
    <s v="Komal Shah"/>
    <x v="1"/>
    <d v="1996-07-27T00:00:00"/>
    <d v="2020-07-15T00:00:00"/>
    <m/>
    <x v="3"/>
    <s v="Executive"/>
    <s v="Navsari"/>
    <s v="Full-Time"/>
    <n v="42000"/>
    <m/>
    <s v="Active"/>
    <n v="0"/>
    <n v="1"/>
    <n v="5.5583333333333336"/>
    <n v="29.524999999999999"/>
    <n v="2020"/>
    <x v="11"/>
    <s v=""/>
    <x v="0"/>
    <n v="0"/>
  </r>
  <r>
    <x v="146"/>
    <s v="Naresh K"/>
    <x v="0"/>
    <d v="1989-01-14T00:00:00"/>
    <d v="2016-05-05T00:00:00"/>
    <m/>
    <x v="2"/>
    <s v="Manager"/>
    <s v="Hosur"/>
    <s v="Full-Time"/>
    <n v="95000"/>
    <m/>
    <s v="Active"/>
    <n v="0"/>
    <n v="1"/>
    <n v="9.7527777777777782"/>
    <n v="37.06111111111111"/>
    <n v="2016"/>
    <x v="12"/>
    <s v=""/>
    <x v="0"/>
    <n v="0"/>
  </r>
  <r>
    <x v="147"/>
    <s v="Priya Kulkarni"/>
    <x v="1"/>
    <d v="1999-05-05T00:00:00"/>
    <d v="2022-09-12T00:00:00"/>
    <m/>
    <x v="1"/>
    <s v="Executive"/>
    <s v="Aurangabad"/>
    <s v="Contract"/>
    <n v="31000"/>
    <m/>
    <s v="Active"/>
    <n v="0"/>
    <n v="1"/>
    <n v="3.4"/>
    <n v="26.752777777777776"/>
    <n v="2022"/>
    <x v="56"/>
    <s v=""/>
    <x v="0"/>
    <n v="1"/>
  </r>
  <r>
    <x v="148"/>
    <s v="Rajesh Verma"/>
    <x v="0"/>
    <d v="1987-01-01T00:00:00"/>
    <d v="2014-07-07T00:00:00"/>
    <m/>
    <x v="4"/>
    <s v="Senior Manager"/>
    <s v="Bhadohi"/>
    <s v="Full-Time"/>
    <n v="119000"/>
    <m/>
    <s v="Active"/>
    <n v="0"/>
    <n v="1"/>
    <n v="11.580555555555556"/>
    <n v="39.097222222222221"/>
    <n v="2014"/>
    <x v="77"/>
    <s v=""/>
    <x v="0"/>
    <n v="0"/>
  </r>
  <r>
    <x v="149"/>
    <s v="Aanchal Gupta"/>
    <x v="1"/>
    <d v="1995-03-18T00:00:00"/>
    <d v="2020-06-20T00:00:00"/>
    <m/>
    <x v="3"/>
    <s v="Senior Executive"/>
    <s v="Rohtak"/>
    <s v="Full-Time"/>
    <n v="61000"/>
    <m/>
    <s v="Active"/>
    <n v="0"/>
    <n v="1"/>
    <n v="5.6277777777777782"/>
    <n v="30.883333333333333"/>
    <n v="2020"/>
    <x v="0"/>
    <s v="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C31D4-DF93-4322-9C88-153944CD2D44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Department">
  <location ref="A36:B41" firstHeaderRow="1" firstDataRow="1" firstDataCol="1"/>
  <pivotFields count="22">
    <pivotField showAll="0"/>
    <pivotField showAll="0"/>
    <pivotField showAll="0"/>
    <pivotField numFmtId="14" showAll="0"/>
    <pivotField numFmtId="14" showAll="0"/>
    <pivotField showAll="0"/>
    <pivotField axis="axisRow"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Tenure_Years" fld="15" subtotal="average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0D9A0-DF91-4467-83C2-ED801E9EB3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2" firstHeaderRow="0" firstDataRow="1" firstDataCol="0"/>
  <pivotFields count="22"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numFmtId="164" showAll="0"/>
    <pivotField numFmtI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ctive_Employees" fld="14" baseField="0" baseItem="0"/>
    <dataField name="Total_Attrition_Count" fld="13" baseField="0" baseItem="0"/>
    <dataField name="Total_Empolyees" fld="0" subtotal="count" baseField="0" baseItem="0"/>
    <dataField name="Average of Tenure_Years" fld="15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8D998-BF98-4EAE-A52D-4BDE9AFC9F25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 rowHeaderCaption="Year/Month">
  <location ref="D48:E61" firstHeaderRow="1" firstDataRow="1" firstDataCol="1"/>
  <pivotFields count="22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numFmtId="1" showAll="0"/>
    <pivotField showAll="0"/>
    <pivotField showAll="0"/>
    <pivotField showAll="0"/>
    <pivotField axis="axisRow" showAll="0">
      <items count="14">
        <item x="0"/>
        <item x="3"/>
        <item x="6"/>
        <item x="9"/>
        <item x="4"/>
        <item x="12"/>
        <item x="2"/>
        <item x="10"/>
        <item x="8"/>
        <item x="1"/>
        <item x="11"/>
        <item x="5"/>
        <item x="7"/>
        <item t="default"/>
      </items>
    </pivotField>
    <pivotField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Leavers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AB86D-6165-4984-8712-044345C88FFB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Year/Month">
  <location ref="A48:B126" firstHeaderRow="1" firstDataRow="1" firstDataCol="1"/>
  <pivotFields count="22"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showAll="0"/>
    <pivotField axis="axisRow" showAll="0">
      <items count="79">
        <item x="61"/>
        <item x="37"/>
        <item x="28"/>
        <item x="34"/>
        <item x="55"/>
        <item x="49"/>
        <item x="53"/>
        <item x="66"/>
        <item x="25"/>
        <item x="74"/>
        <item x="35"/>
        <item x="63"/>
        <item x="77"/>
        <item x="19"/>
        <item x="54"/>
        <item x="41"/>
        <item x="72"/>
        <item x="64"/>
        <item x="16"/>
        <item x="52"/>
        <item x="27"/>
        <item x="21"/>
        <item x="48"/>
        <item x="12"/>
        <item x="71"/>
        <item x="44"/>
        <item x="57"/>
        <item x="32"/>
        <item x="68"/>
        <item x="6"/>
        <item x="17"/>
        <item x="36"/>
        <item x="45"/>
        <item x="33"/>
        <item x="76"/>
        <item x="60"/>
        <item x="2"/>
        <item x="43"/>
        <item x="8"/>
        <item x="73"/>
        <item x="62"/>
        <item x="67"/>
        <item x="39"/>
        <item x="24"/>
        <item x="51"/>
        <item x="29"/>
        <item x="30"/>
        <item x="20"/>
        <item x="5"/>
        <item x="23"/>
        <item x="1"/>
        <item x="65"/>
        <item x="42"/>
        <item x="10"/>
        <item x="14"/>
        <item x="9"/>
        <item x="75"/>
        <item x="46"/>
        <item x="4"/>
        <item x="59"/>
        <item x="0"/>
        <item x="11"/>
        <item x="31"/>
        <item x="26"/>
        <item x="15"/>
        <item x="38"/>
        <item x="70"/>
        <item x="58"/>
        <item x="3"/>
        <item x="7"/>
        <item x="13"/>
        <item x="18"/>
        <item x="22"/>
        <item x="47"/>
        <item x="40"/>
        <item x="50"/>
        <item x="56"/>
        <item x="69"/>
        <item t="default"/>
      </items>
    </pivotField>
    <pivotField showAll="0"/>
    <pivotField showAll="0"/>
    <pivotField showAll="0"/>
  </pivotFields>
  <rowFields count="1">
    <field x="18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</rowItems>
  <colItems count="1">
    <i/>
  </colItems>
  <dataFields count="1">
    <dataField name="Join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8D6C5-CC86-412E-8A48-7F7C4C92C9F9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4" rowHeaderCaption="Gender">
  <location ref="A24:C26" firstHeaderRow="0" firstDataRow="1" firstDataCol="1"/>
  <pivotFields count="22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numFmtId="1"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ttrition_count" fld="13" baseField="0" baseItem="0"/>
    <dataField name="Total_Employees_Count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B859A-76EA-47B6-88EA-324B2AB8633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0" rowHeaderCaption="Department">
  <location ref="A10:B15" firstHeaderRow="1" firstDataRow="1" firstDataCol="1"/>
  <pivotFields count="22">
    <pivotField showAll="0"/>
    <pivotField showAll="0"/>
    <pivotField showAll="0"/>
    <pivotField numFmtId="14" showAll="0"/>
    <pivotField numFmtId="14" showAll="0"/>
    <pivotField showAll="0"/>
    <pivotField axis="axisRow" showAll="0" sortType="ascending">
      <items count="6"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numFmtId="1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1"/>
    </i>
    <i>
      <x v="2"/>
    </i>
    <i>
      <x v="3"/>
    </i>
    <i>
      <x/>
    </i>
    <i>
      <x v="4"/>
    </i>
  </rowItems>
  <colItems count="1">
    <i/>
  </colItems>
  <dataFields count="1">
    <dataField name="Attrition_Count" fld="13" baseField="0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55DA6-F0F3-47A3-A970-C08AB6D392F6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 rowHeaderCaption="Year/Month">
  <location ref="H48:I60" firstHeaderRow="1" firstDataRow="1" firstDataCol="1"/>
  <pivotFields count="22"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  <pivotField axis="axisRow" showAll="0">
      <items count="14">
        <item h="1" x="0"/>
        <item x="3"/>
        <item x="6"/>
        <item x="9"/>
        <item x="4"/>
        <item x="12"/>
        <item x="2"/>
        <item x="10"/>
        <item x="8"/>
        <item x="1"/>
        <item x="11"/>
        <item x="5"/>
        <item x="7"/>
        <item t="default"/>
      </items>
    </pivotField>
    <pivotField showAll="0"/>
  </pivotFields>
  <rowFields count="1">
    <field x="2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Leaver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F4F2AD-FD61-44B9-9F01-0D545655DBA7}" autoFormatId="16" applyNumberFormats="0" applyBorderFormats="0" applyFontFormats="0" applyPatternFormats="0" applyAlignmentFormats="0" applyWidthHeightFormats="0">
  <queryTableRefresh nextId="23" unboundColumnsRight="10">
    <queryTableFields count="22">
      <queryTableField id="1" name="Employee_ID" tableColumnId="1"/>
      <queryTableField id="2" name="Employee_Name" tableColumnId="2"/>
      <queryTableField id="3" name="Gender" tableColumnId="3"/>
      <queryTableField id="4" name="Date_of_Birth" tableColumnId="4"/>
      <queryTableField id="5" name="Join_Date" tableColumnId="5"/>
      <queryTableField id="6" name="Exit_Date" tableColumnId="6"/>
      <queryTableField id="7" name="Department" tableColumnId="7"/>
      <queryTableField id="8" name="Job_Level" tableColumnId="8"/>
      <queryTableField id="9" name="Location" tableColumnId="9"/>
      <queryTableField id="10" name="Employment_Type" tableColumnId="10"/>
      <queryTableField id="11" name="Monthly_Salary" tableColumnId="11"/>
      <queryTableField id="12" name="Exit_Reason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38F5E-1353-4FEF-B8B2-BCF3C3EB6DED}" name="Table1" displayName="Table1" ref="A1:L151" totalsRowShown="0">
  <autoFilter ref="A1:L151" xr:uid="{AA838F5E-1353-4FEF-B8B2-BCF3C3EB6D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FD39FCE-B7A6-4C2F-B3CA-C426AC8171A2}" name="Employee_ID"/>
    <tableColumn id="2" xr3:uid="{39E90973-CA10-4FE1-A6EE-069BE30D4B44}" name="Employee_Name"/>
    <tableColumn id="3" xr3:uid="{254FB631-1EE6-425F-9D6A-C6C30E3831F7}" name="Gender"/>
    <tableColumn id="4" xr3:uid="{BE9FF09B-6A6D-4BA2-90C1-793A477348C1}" name="Date_of_Birth" dataDxfId="22"/>
    <tableColumn id="5" xr3:uid="{6D6C568C-F80C-4BA5-8AEB-3D8AA672931B}" name="Join_Date" dataDxfId="21"/>
    <tableColumn id="6" xr3:uid="{4CB46859-98C3-4A9B-9089-1331B448F8CD}" name="Exit_Date"/>
    <tableColumn id="7" xr3:uid="{5690FD09-D3EC-4BA9-A279-5DEA9E01F647}" name="Department"/>
    <tableColumn id="8" xr3:uid="{08D925E7-B6CD-4144-98D9-EFF400020BC9}" name="Job_Level"/>
    <tableColumn id="9" xr3:uid="{2FB6E180-7DBE-4648-B312-2FDB5D856B57}" name="Location"/>
    <tableColumn id="10" xr3:uid="{C333B6B2-541D-4C72-894B-AC9931F0FDAB}" name="Employment_Type"/>
    <tableColumn id="11" xr3:uid="{41542002-AC54-4825-AB9B-598526AC5AEB}" name="Monthly_Salary"/>
    <tableColumn id="12" xr3:uid="{77655B59-F107-40D3-9CBE-46E3F66FD62F}" name="Exit_Reason"/>
  </tableColumns>
  <tableStyleInfo name="TableStyleMedium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13969-422F-4B39-8AA9-214143863F6D}" name="Table1_1" displayName="Table1_1" ref="A1:V151" tableType="queryTable" totalsRowShown="0">
  <autoFilter ref="A1:V151" xr:uid="{AD513969-422F-4B39-8AA9-214143863F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F3C1C858-E3D0-4A10-8344-1D1B685EEC98}" uniqueName="1" name="Employee_ID" queryTableFieldId="1" dataDxfId="20"/>
    <tableColumn id="2" xr3:uid="{9886285F-DDFD-4B45-8FC2-E504788903F1}" uniqueName="2" name="Employee_Name" queryTableFieldId="2" dataDxfId="19"/>
    <tableColumn id="3" xr3:uid="{B4C3CEB9-D794-40F3-93A6-8BA9B9870108}" uniqueName="3" name="Gender" queryTableFieldId="3" dataDxfId="18"/>
    <tableColumn id="4" xr3:uid="{6AA87763-D17E-4823-A949-CE33451E0DD4}" uniqueName="4" name="Date_of_Birth" queryTableFieldId="4" dataDxfId="17"/>
    <tableColumn id="5" xr3:uid="{5EB1A1EB-C0BB-4E9C-9A25-6A6208678C31}" uniqueName="5" name="Join_Date" queryTableFieldId="5" dataDxfId="16"/>
    <tableColumn id="6" xr3:uid="{4342E275-F32E-4B70-BD1A-BD3429031856}" uniqueName="6" name="Exit_Date" queryTableFieldId="6" dataDxfId="15"/>
    <tableColumn id="7" xr3:uid="{AF75F845-C8CD-4249-92CF-141CE47E5C87}" uniqueName="7" name="Department" queryTableFieldId="7" dataDxfId="14"/>
    <tableColumn id="8" xr3:uid="{A2022679-8E68-4FF6-A341-6DEA6C579B88}" uniqueName="8" name="Job_Level" queryTableFieldId="8" dataDxfId="13"/>
    <tableColumn id="9" xr3:uid="{7DF0858E-D3FC-4B7D-BB78-C4F4ACDBEC9B}" uniqueName="9" name="Location" queryTableFieldId="9" dataDxfId="12"/>
    <tableColumn id="10" xr3:uid="{F7169E00-55B5-494A-9007-1C1DF336A259}" uniqueName="10" name="Employment_Type" queryTableFieldId="10" dataDxfId="11"/>
    <tableColumn id="11" xr3:uid="{D011FB57-B384-4C7C-86E5-CBFB54674C14}" uniqueName="11" name="Monthly_Salary" queryTableFieldId="11"/>
    <tableColumn id="12" xr3:uid="{1A662DCF-0D8F-4C93-90DF-86BE6A213ED3}" uniqueName="12" name="Exit_Reason" queryTableFieldId="12" dataDxfId="10"/>
    <tableColumn id="13" xr3:uid="{92110282-7636-4237-AA96-5D4A073337DC}" uniqueName="13" name="Employee_Status" queryTableFieldId="13" dataDxfId="9">
      <calculatedColumnFormula>IF(Table1_1[[#This Row],[Exit_Date]]="","Active","Exited")</calculatedColumnFormula>
    </tableColumn>
    <tableColumn id="14" xr3:uid="{2D52E1DF-1359-4EE0-B35D-5BE11F045E28}" uniqueName="14" name="Attrition_Flag" queryTableFieldId="14" dataDxfId="8">
      <calculatedColumnFormula>IF(Table1_1[[#This Row],[Employee_Status]]="Exited",1,0)</calculatedColumnFormula>
    </tableColumn>
    <tableColumn id="15" xr3:uid="{592F9DAA-0663-49AF-BF6A-20328201857D}" uniqueName="15" name="Active_Employee_Flag" queryTableFieldId="15" dataDxfId="7">
      <calculatedColumnFormula>IF(Table1_1[[#This Row],[Employee_Status]]="Active",1,0)</calculatedColumnFormula>
    </tableColumn>
    <tableColumn id="16" xr3:uid="{0779CC3E-3D74-4FDB-B899-A93AFB1DA490}" uniqueName="16" name="Tenure_Years" queryTableFieldId="16" dataDxfId="6">
      <calculatedColumnFormula>IF(Table1_1[[#This Row],[Employee_Status]]="Active",YEARFRAC(Table1_1[[#This Row],[Join_Date]],TODAY()),YEARFRAC(Table1_1[[#This Row],[Join_Date]],Table1_1[[#This Row],[Exit_Date]]))</calculatedColumnFormula>
    </tableColumn>
    <tableColumn id="17" xr3:uid="{A9415318-58CE-48F7-87F1-3C8A51B54E68}" uniqueName="17" name="Age_Years" queryTableFieldId="17" dataDxfId="5">
      <calculatedColumnFormula>YEARFRAC(Table1_1[[#This Row],[Date_of_Birth]],TODAY())</calculatedColumnFormula>
    </tableColumn>
    <tableColumn id="18" xr3:uid="{53EC27FC-5752-43C6-9F0C-EE3BC95F7735}" uniqueName="18" name="Join_Year" queryTableFieldId="18" dataDxfId="4">
      <calculatedColumnFormula>YEAR(Table1_1[[#This Row],[Join_Date]])</calculatedColumnFormula>
    </tableColumn>
    <tableColumn id="19" xr3:uid="{434798DD-C46C-4192-B784-D05A47085D15}" uniqueName="19" name="Join_Month" queryTableFieldId="19" dataDxfId="3">
      <calculatedColumnFormula>TEXT(Table1_1[[#This Row],[Join_Date]],"yyyy-mm")</calculatedColumnFormula>
    </tableColumn>
    <tableColumn id="20" xr3:uid="{B440C834-4D64-49FE-BFF1-4563E07AAFDE}" uniqueName="20" name="Exit_Year" queryTableFieldId="20" dataDxfId="2">
      <calculatedColumnFormula>IF(Table1_1[[#This Row],[Exit_Date]]="","",YEAR(Table1_1[[#This Row],[Exit_Date]]))</calculatedColumnFormula>
    </tableColumn>
    <tableColumn id="21" xr3:uid="{7F5A6738-A350-42A9-AF3E-A02542FD10F7}" uniqueName="21" name="Exit_Month" queryTableFieldId="21" dataDxfId="1">
      <calculatedColumnFormula>IF(Table1_1[[#This Row],[Exit_Date]]="","",TEXT(Table1_1[[#This Row],[Exit_Date]],"yyyy-mm"))</calculatedColumnFormula>
    </tableColumn>
    <tableColumn id="22" xr3:uid="{AF57D961-DAAA-42CA-A408-89C99C737325}" uniqueName="22" name="Is_Contract" queryTableFieldId="22" dataDxfId="0">
      <calculatedColumnFormula>IF(Table1_1[[#This Row],[Employment_Type]]="Contract",1,0)</calculatedColumnFormula>
    </tableColumn>
  </tableColumns>
  <tableStyleInfo name="TableStyleMedium8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0698-3A04-43AD-AADB-9F2BAA18EEA2}">
  <dimension ref="A1:L151"/>
  <sheetViews>
    <sheetView workbookViewId="0">
      <selection activeCell="O25" sqref="O25"/>
    </sheetView>
  </sheetViews>
  <sheetFormatPr defaultRowHeight="14.4" x14ac:dyDescent="0.3"/>
  <cols>
    <col min="1" max="1" width="14" customWidth="1"/>
    <col min="2" max="2" width="17.21875" customWidth="1"/>
    <col min="3" max="3" width="9" customWidth="1"/>
    <col min="4" max="4" width="14.5546875" customWidth="1"/>
    <col min="5" max="5" width="11.44140625" customWidth="1"/>
    <col min="6" max="6" width="10.77734375" customWidth="1"/>
    <col min="7" max="7" width="13" customWidth="1"/>
    <col min="8" max="8" width="15.109375" customWidth="1"/>
    <col min="9" max="9" width="10.109375" customWidth="1"/>
    <col min="10" max="10" width="18.77734375" customWidth="1"/>
    <col min="11" max="11" width="16.21875" customWidth="1"/>
    <col min="12" max="12" width="17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35197</v>
      </c>
      <c r="E2" s="1">
        <v>43992</v>
      </c>
      <c r="G2" t="s">
        <v>15</v>
      </c>
      <c r="H2" t="s">
        <v>16</v>
      </c>
      <c r="I2" t="s">
        <v>17</v>
      </c>
      <c r="J2" t="s">
        <v>18</v>
      </c>
      <c r="K2">
        <v>42000</v>
      </c>
    </row>
    <row r="3" spans="1:12" x14ac:dyDescent="0.3">
      <c r="A3" t="s">
        <v>19</v>
      </c>
      <c r="B3" t="s">
        <v>20</v>
      </c>
      <c r="C3" t="s">
        <v>21</v>
      </c>
      <c r="D3" s="1">
        <v>34568</v>
      </c>
      <c r="E3" s="1">
        <v>43661</v>
      </c>
      <c r="F3" s="1">
        <v>45005</v>
      </c>
      <c r="G3" t="s">
        <v>22</v>
      </c>
      <c r="H3" t="s">
        <v>23</v>
      </c>
      <c r="I3" t="s">
        <v>24</v>
      </c>
      <c r="J3" t="s">
        <v>18</v>
      </c>
      <c r="K3">
        <v>55000</v>
      </c>
      <c r="L3" t="s">
        <v>25</v>
      </c>
    </row>
    <row r="4" spans="1:12" x14ac:dyDescent="0.3">
      <c r="A4" t="s">
        <v>26</v>
      </c>
      <c r="B4" t="s">
        <v>27</v>
      </c>
      <c r="C4" t="s">
        <v>14</v>
      </c>
      <c r="D4" s="1">
        <v>33635</v>
      </c>
      <c r="E4" s="1">
        <v>43105</v>
      </c>
      <c r="G4" t="s">
        <v>28</v>
      </c>
      <c r="H4" t="s">
        <v>29</v>
      </c>
      <c r="I4" t="s">
        <v>30</v>
      </c>
      <c r="J4" t="s">
        <v>18</v>
      </c>
      <c r="K4">
        <v>95000</v>
      </c>
    </row>
    <row r="5" spans="1:12" x14ac:dyDescent="0.3">
      <c r="A5" t="s">
        <v>31</v>
      </c>
      <c r="B5" t="s">
        <v>32</v>
      </c>
      <c r="C5" t="s">
        <v>21</v>
      </c>
      <c r="D5" s="1">
        <v>35753</v>
      </c>
      <c r="E5" s="1">
        <v>44420</v>
      </c>
      <c r="G5" t="s">
        <v>33</v>
      </c>
      <c r="H5" t="s">
        <v>16</v>
      </c>
      <c r="I5" t="s">
        <v>34</v>
      </c>
      <c r="J5" t="s">
        <v>18</v>
      </c>
      <c r="K5">
        <v>38000</v>
      </c>
    </row>
    <row r="6" spans="1:12" x14ac:dyDescent="0.3">
      <c r="A6" t="s">
        <v>35</v>
      </c>
      <c r="B6" t="s">
        <v>36</v>
      </c>
      <c r="C6" t="s">
        <v>14</v>
      </c>
      <c r="D6" s="1">
        <v>34945</v>
      </c>
      <c r="E6" s="1">
        <v>43922</v>
      </c>
      <c r="F6" s="1">
        <v>44910</v>
      </c>
      <c r="G6" t="s">
        <v>15</v>
      </c>
      <c r="H6" t="s">
        <v>16</v>
      </c>
      <c r="I6" t="s">
        <v>17</v>
      </c>
      <c r="J6" t="s">
        <v>18</v>
      </c>
      <c r="K6">
        <v>45000</v>
      </c>
      <c r="L6" t="s">
        <v>37</v>
      </c>
    </row>
    <row r="7" spans="1:12" x14ac:dyDescent="0.3">
      <c r="A7" t="s">
        <v>38</v>
      </c>
      <c r="B7" t="s">
        <v>39</v>
      </c>
      <c r="C7" t="s">
        <v>21</v>
      </c>
      <c r="D7" s="1">
        <v>34137</v>
      </c>
      <c r="E7" s="1">
        <v>43605</v>
      </c>
      <c r="G7" t="s">
        <v>22</v>
      </c>
      <c r="H7" t="s">
        <v>29</v>
      </c>
      <c r="I7" t="s">
        <v>40</v>
      </c>
      <c r="J7" t="s">
        <v>18</v>
      </c>
      <c r="K7">
        <v>78000</v>
      </c>
    </row>
    <row r="8" spans="1:12" x14ac:dyDescent="0.3">
      <c r="A8" t="s">
        <v>41</v>
      </c>
      <c r="B8" t="s">
        <v>42</v>
      </c>
      <c r="C8" t="s">
        <v>14</v>
      </c>
      <c r="D8" s="1">
        <v>32884</v>
      </c>
      <c r="E8" s="1">
        <v>42767</v>
      </c>
      <c r="G8" t="s">
        <v>43</v>
      </c>
      <c r="H8" t="s">
        <v>44</v>
      </c>
      <c r="I8" t="s">
        <v>45</v>
      </c>
      <c r="J8" t="s">
        <v>18</v>
      </c>
      <c r="K8">
        <v>110000</v>
      </c>
    </row>
    <row r="9" spans="1:12" x14ac:dyDescent="0.3">
      <c r="A9" t="s">
        <v>46</v>
      </c>
      <c r="B9" t="s">
        <v>47</v>
      </c>
      <c r="C9" t="s">
        <v>21</v>
      </c>
      <c r="D9" s="1">
        <v>35894</v>
      </c>
      <c r="E9" s="1">
        <v>44457</v>
      </c>
      <c r="G9" t="s">
        <v>28</v>
      </c>
      <c r="H9" t="s">
        <v>16</v>
      </c>
      <c r="I9" t="s">
        <v>24</v>
      </c>
      <c r="J9" t="s">
        <v>48</v>
      </c>
      <c r="K9">
        <v>36000</v>
      </c>
    </row>
    <row r="10" spans="1:12" x14ac:dyDescent="0.3">
      <c r="A10" t="s">
        <v>49</v>
      </c>
      <c r="B10" t="s">
        <v>50</v>
      </c>
      <c r="C10" t="s">
        <v>14</v>
      </c>
      <c r="D10" s="1">
        <v>33447</v>
      </c>
      <c r="E10" s="1">
        <v>43169</v>
      </c>
      <c r="F10" s="1">
        <v>44352</v>
      </c>
      <c r="G10" t="s">
        <v>33</v>
      </c>
      <c r="H10" t="s">
        <v>23</v>
      </c>
      <c r="I10" t="s">
        <v>51</v>
      </c>
      <c r="J10" t="s">
        <v>18</v>
      </c>
      <c r="K10">
        <v>60000</v>
      </c>
      <c r="L10" t="s">
        <v>52</v>
      </c>
    </row>
    <row r="11" spans="1:12" x14ac:dyDescent="0.3">
      <c r="A11" t="s">
        <v>53</v>
      </c>
      <c r="B11" t="s">
        <v>54</v>
      </c>
      <c r="C11" t="s">
        <v>21</v>
      </c>
      <c r="D11" s="1">
        <v>35413</v>
      </c>
      <c r="E11" s="1">
        <v>43855</v>
      </c>
      <c r="G11" t="s">
        <v>15</v>
      </c>
      <c r="H11" t="s">
        <v>16</v>
      </c>
      <c r="I11" t="s">
        <v>30</v>
      </c>
      <c r="J11" t="s">
        <v>18</v>
      </c>
      <c r="K11">
        <v>43000</v>
      </c>
    </row>
    <row r="12" spans="1:12" x14ac:dyDescent="0.3">
      <c r="A12" t="s">
        <v>55</v>
      </c>
      <c r="B12" t="s">
        <v>56</v>
      </c>
      <c r="C12" t="s">
        <v>14</v>
      </c>
      <c r="D12" s="1">
        <v>34613</v>
      </c>
      <c r="E12" s="1">
        <v>43780</v>
      </c>
      <c r="G12" t="s">
        <v>28</v>
      </c>
      <c r="H12" t="s">
        <v>23</v>
      </c>
      <c r="I12" t="s">
        <v>57</v>
      </c>
      <c r="J12" t="s">
        <v>18</v>
      </c>
      <c r="K12">
        <v>72000</v>
      </c>
    </row>
    <row r="13" spans="1:12" x14ac:dyDescent="0.3">
      <c r="A13" t="s">
        <v>58</v>
      </c>
      <c r="B13" t="s">
        <v>59</v>
      </c>
      <c r="C13" t="s">
        <v>21</v>
      </c>
      <c r="D13" s="1">
        <v>34760</v>
      </c>
      <c r="E13" s="1">
        <v>44020</v>
      </c>
      <c r="G13" t="s">
        <v>22</v>
      </c>
      <c r="H13" t="s">
        <v>16</v>
      </c>
      <c r="I13" t="s">
        <v>57</v>
      </c>
      <c r="J13" t="s">
        <v>18</v>
      </c>
      <c r="K13">
        <v>40000</v>
      </c>
    </row>
    <row r="14" spans="1:12" x14ac:dyDescent="0.3">
      <c r="A14" t="s">
        <v>60</v>
      </c>
      <c r="B14" t="s">
        <v>61</v>
      </c>
      <c r="C14" t="s">
        <v>14</v>
      </c>
      <c r="D14" s="1">
        <v>32769</v>
      </c>
      <c r="E14" s="1">
        <v>42504</v>
      </c>
      <c r="G14" t="s">
        <v>43</v>
      </c>
      <c r="H14" t="s">
        <v>29</v>
      </c>
      <c r="I14" t="s">
        <v>62</v>
      </c>
      <c r="J14" t="s">
        <v>18</v>
      </c>
      <c r="K14">
        <v>98000</v>
      </c>
    </row>
    <row r="15" spans="1:12" x14ac:dyDescent="0.3">
      <c r="A15" t="s">
        <v>63</v>
      </c>
      <c r="B15" t="s">
        <v>64</v>
      </c>
      <c r="C15" t="s">
        <v>21</v>
      </c>
      <c r="D15" s="1">
        <v>35816</v>
      </c>
      <c r="E15" s="1">
        <v>44472</v>
      </c>
      <c r="G15" t="s">
        <v>33</v>
      </c>
      <c r="H15" t="s">
        <v>16</v>
      </c>
      <c r="I15" t="s">
        <v>65</v>
      </c>
      <c r="J15" t="s">
        <v>48</v>
      </c>
      <c r="K15">
        <v>34000</v>
      </c>
    </row>
    <row r="16" spans="1:12" x14ac:dyDescent="0.3">
      <c r="A16" t="s">
        <v>66</v>
      </c>
      <c r="B16" t="s">
        <v>67</v>
      </c>
      <c r="C16" t="s">
        <v>14</v>
      </c>
      <c r="D16" s="1">
        <v>34150</v>
      </c>
      <c r="E16" s="1">
        <v>43811</v>
      </c>
      <c r="F16" s="1">
        <v>44795</v>
      </c>
      <c r="G16" t="s">
        <v>28</v>
      </c>
      <c r="H16" t="s">
        <v>16</v>
      </c>
      <c r="I16" t="s">
        <v>30</v>
      </c>
      <c r="J16" t="s">
        <v>18</v>
      </c>
      <c r="K16">
        <v>48000</v>
      </c>
      <c r="L16" t="s">
        <v>68</v>
      </c>
    </row>
    <row r="17" spans="1:12" x14ac:dyDescent="0.3">
      <c r="A17" t="s">
        <v>69</v>
      </c>
      <c r="B17" t="s">
        <v>70</v>
      </c>
      <c r="C17" t="s">
        <v>21</v>
      </c>
      <c r="D17" s="1">
        <v>35466</v>
      </c>
      <c r="E17" s="1">
        <v>44246</v>
      </c>
      <c r="G17" t="s">
        <v>15</v>
      </c>
      <c r="H17" t="s">
        <v>16</v>
      </c>
      <c r="I17" t="s">
        <v>71</v>
      </c>
      <c r="J17" t="s">
        <v>18</v>
      </c>
      <c r="K17">
        <v>41000</v>
      </c>
    </row>
    <row r="18" spans="1:12" x14ac:dyDescent="0.3">
      <c r="A18" t="s">
        <v>72</v>
      </c>
      <c r="B18" t="s">
        <v>73</v>
      </c>
      <c r="C18" t="s">
        <v>14</v>
      </c>
      <c r="D18" s="1">
        <v>32426</v>
      </c>
      <c r="E18" s="1">
        <v>42248</v>
      </c>
      <c r="G18" t="s">
        <v>43</v>
      </c>
      <c r="H18" t="s">
        <v>44</v>
      </c>
      <c r="I18" t="s">
        <v>30</v>
      </c>
      <c r="J18" t="s">
        <v>18</v>
      </c>
      <c r="K18">
        <v>115000</v>
      </c>
    </row>
    <row r="19" spans="1:12" x14ac:dyDescent="0.3">
      <c r="A19" t="s">
        <v>74</v>
      </c>
      <c r="B19" t="s">
        <v>75</v>
      </c>
      <c r="C19" t="s">
        <v>21</v>
      </c>
      <c r="D19" s="1">
        <v>35273</v>
      </c>
      <c r="E19" s="1">
        <v>43997</v>
      </c>
      <c r="F19" s="1">
        <v>45260</v>
      </c>
      <c r="G19" t="s">
        <v>22</v>
      </c>
      <c r="H19" t="s">
        <v>16</v>
      </c>
      <c r="I19" t="s">
        <v>17</v>
      </c>
      <c r="J19" t="s">
        <v>18</v>
      </c>
      <c r="K19">
        <v>46000</v>
      </c>
      <c r="L19" t="s">
        <v>76</v>
      </c>
    </row>
    <row r="20" spans="1:12" x14ac:dyDescent="0.3">
      <c r="A20" t="s">
        <v>77</v>
      </c>
      <c r="B20" t="s">
        <v>78</v>
      </c>
      <c r="C20" t="s">
        <v>14</v>
      </c>
      <c r="D20" s="1">
        <v>33708</v>
      </c>
      <c r="E20" s="1">
        <v>43120</v>
      </c>
      <c r="G20" t="s">
        <v>33</v>
      </c>
      <c r="H20" t="s">
        <v>29</v>
      </c>
      <c r="I20" t="s">
        <v>34</v>
      </c>
      <c r="J20" t="s">
        <v>18</v>
      </c>
      <c r="K20">
        <v>88000</v>
      </c>
    </row>
    <row r="21" spans="1:12" x14ac:dyDescent="0.3">
      <c r="A21" t="s">
        <v>79</v>
      </c>
      <c r="B21" t="s">
        <v>80</v>
      </c>
      <c r="C21" t="s">
        <v>21</v>
      </c>
      <c r="D21" s="1">
        <v>34554</v>
      </c>
      <c r="E21" s="1">
        <v>43590</v>
      </c>
      <c r="G21" t="s">
        <v>28</v>
      </c>
      <c r="H21" t="s">
        <v>23</v>
      </c>
      <c r="I21" t="s">
        <v>24</v>
      </c>
      <c r="J21" t="s">
        <v>18</v>
      </c>
      <c r="K21">
        <v>68000</v>
      </c>
    </row>
    <row r="22" spans="1:12" x14ac:dyDescent="0.3">
      <c r="A22" t="s">
        <v>81</v>
      </c>
      <c r="B22" t="s">
        <v>82</v>
      </c>
      <c r="C22" t="s">
        <v>14</v>
      </c>
      <c r="D22" s="1">
        <v>33589</v>
      </c>
      <c r="E22" s="1">
        <v>42805</v>
      </c>
      <c r="F22" s="1">
        <v>44448</v>
      </c>
      <c r="G22" t="s">
        <v>15</v>
      </c>
      <c r="H22" t="s">
        <v>23</v>
      </c>
      <c r="I22" t="s">
        <v>57</v>
      </c>
      <c r="J22" t="s">
        <v>18</v>
      </c>
      <c r="K22">
        <v>62000</v>
      </c>
      <c r="L22" t="s">
        <v>37</v>
      </c>
    </row>
    <row r="23" spans="1:12" x14ac:dyDescent="0.3">
      <c r="A23" t="s">
        <v>83</v>
      </c>
      <c r="B23" t="s">
        <v>84</v>
      </c>
      <c r="C23" t="s">
        <v>21</v>
      </c>
      <c r="D23" s="1">
        <v>35940</v>
      </c>
      <c r="E23" s="1">
        <v>44501</v>
      </c>
      <c r="G23" t="s">
        <v>22</v>
      </c>
      <c r="H23" t="s">
        <v>16</v>
      </c>
      <c r="I23" t="s">
        <v>85</v>
      </c>
      <c r="J23" t="s">
        <v>48</v>
      </c>
      <c r="K23">
        <v>35000</v>
      </c>
    </row>
    <row r="24" spans="1:12" x14ac:dyDescent="0.3">
      <c r="A24" t="s">
        <v>86</v>
      </c>
      <c r="B24" t="s">
        <v>87</v>
      </c>
      <c r="C24" t="s">
        <v>14</v>
      </c>
      <c r="D24" s="1">
        <v>31839</v>
      </c>
      <c r="E24" s="1">
        <v>41869</v>
      </c>
      <c r="G24" t="s">
        <v>43</v>
      </c>
      <c r="H24" t="s">
        <v>88</v>
      </c>
      <c r="I24" t="s">
        <v>17</v>
      </c>
      <c r="J24" t="s">
        <v>18</v>
      </c>
      <c r="K24">
        <v>160000</v>
      </c>
    </row>
    <row r="25" spans="1:12" x14ac:dyDescent="0.3">
      <c r="A25" t="s">
        <v>89</v>
      </c>
      <c r="B25" t="s">
        <v>90</v>
      </c>
      <c r="C25" t="s">
        <v>21</v>
      </c>
      <c r="D25" s="1">
        <v>34862</v>
      </c>
      <c r="E25" s="1">
        <v>43837</v>
      </c>
      <c r="G25" t="s">
        <v>33</v>
      </c>
      <c r="H25" t="s">
        <v>16</v>
      </c>
      <c r="I25" t="s">
        <v>91</v>
      </c>
      <c r="J25" t="s">
        <v>18</v>
      </c>
      <c r="K25">
        <v>42000</v>
      </c>
    </row>
    <row r="26" spans="1:12" x14ac:dyDescent="0.3">
      <c r="A26" t="s">
        <v>92</v>
      </c>
      <c r="B26" t="s">
        <v>93</v>
      </c>
      <c r="C26" t="s">
        <v>14</v>
      </c>
      <c r="D26" s="1">
        <v>34241</v>
      </c>
      <c r="E26" s="1">
        <v>43569</v>
      </c>
      <c r="G26" t="s">
        <v>28</v>
      </c>
      <c r="H26" t="s">
        <v>29</v>
      </c>
      <c r="I26" t="s">
        <v>62</v>
      </c>
      <c r="J26" t="s">
        <v>18</v>
      </c>
      <c r="K26">
        <v>92000</v>
      </c>
    </row>
    <row r="27" spans="1:12" x14ac:dyDescent="0.3">
      <c r="A27" t="s">
        <v>94</v>
      </c>
      <c r="B27" t="s">
        <v>95</v>
      </c>
      <c r="C27" t="s">
        <v>21</v>
      </c>
      <c r="D27" s="1">
        <v>35065</v>
      </c>
      <c r="E27" s="1">
        <v>44004</v>
      </c>
      <c r="F27" s="1">
        <v>45308</v>
      </c>
      <c r="G27" t="s">
        <v>15</v>
      </c>
      <c r="H27" t="s">
        <v>16</v>
      </c>
      <c r="I27" t="s">
        <v>96</v>
      </c>
      <c r="J27" t="s">
        <v>18</v>
      </c>
      <c r="K27">
        <v>39000</v>
      </c>
      <c r="L27" t="s">
        <v>97</v>
      </c>
    </row>
    <row r="28" spans="1:12" x14ac:dyDescent="0.3">
      <c r="A28" t="s">
        <v>98</v>
      </c>
      <c r="B28" t="s">
        <v>99</v>
      </c>
      <c r="C28" t="s">
        <v>14</v>
      </c>
      <c r="D28" s="1">
        <v>33193</v>
      </c>
      <c r="E28" s="1">
        <v>42405</v>
      </c>
      <c r="G28" t="s">
        <v>43</v>
      </c>
      <c r="H28" t="s">
        <v>29</v>
      </c>
      <c r="I28" t="s">
        <v>91</v>
      </c>
      <c r="J28" t="s">
        <v>18</v>
      </c>
      <c r="K28">
        <v>87000</v>
      </c>
    </row>
    <row r="29" spans="1:12" x14ac:dyDescent="0.3">
      <c r="A29" t="s">
        <v>100</v>
      </c>
      <c r="B29" t="s">
        <v>101</v>
      </c>
      <c r="C29" t="s">
        <v>21</v>
      </c>
      <c r="D29" s="1">
        <v>35481</v>
      </c>
      <c r="E29" s="1">
        <v>44438</v>
      </c>
      <c r="G29" t="s">
        <v>22</v>
      </c>
      <c r="H29" t="s">
        <v>23</v>
      </c>
      <c r="I29" t="s">
        <v>51</v>
      </c>
      <c r="J29" t="s">
        <v>18</v>
      </c>
      <c r="K29">
        <v>52000</v>
      </c>
    </row>
    <row r="30" spans="1:12" x14ac:dyDescent="0.3">
      <c r="A30" t="s">
        <v>102</v>
      </c>
      <c r="B30" t="s">
        <v>103</v>
      </c>
      <c r="C30" t="s">
        <v>14</v>
      </c>
      <c r="D30" s="1">
        <v>32331</v>
      </c>
      <c r="E30" s="1">
        <v>42256</v>
      </c>
      <c r="G30" t="s">
        <v>33</v>
      </c>
      <c r="H30" t="s">
        <v>44</v>
      </c>
      <c r="I30" t="s">
        <v>24</v>
      </c>
      <c r="J30" t="s">
        <v>18</v>
      </c>
      <c r="K30">
        <v>125000</v>
      </c>
    </row>
    <row r="31" spans="1:12" x14ac:dyDescent="0.3">
      <c r="A31" t="s">
        <v>104</v>
      </c>
      <c r="B31" t="s">
        <v>105</v>
      </c>
      <c r="C31" t="s">
        <v>21</v>
      </c>
      <c r="D31" s="1">
        <v>36230</v>
      </c>
      <c r="E31" s="1">
        <v>44563</v>
      </c>
      <c r="G31" t="s">
        <v>28</v>
      </c>
      <c r="H31" t="s">
        <v>16</v>
      </c>
      <c r="I31" t="s">
        <v>30</v>
      </c>
      <c r="J31" t="s">
        <v>48</v>
      </c>
      <c r="K31">
        <v>32000</v>
      </c>
    </row>
    <row r="32" spans="1:12" x14ac:dyDescent="0.3">
      <c r="A32" t="s">
        <v>106</v>
      </c>
      <c r="B32" t="s">
        <v>107</v>
      </c>
      <c r="C32" t="s">
        <v>14</v>
      </c>
      <c r="D32" s="1">
        <v>34478</v>
      </c>
      <c r="E32" s="1">
        <v>43634</v>
      </c>
      <c r="G32" t="s">
        <v>43</v>
      </c>
      <c r="H32" t="s">
        <v>16</v>
      </c>
      <c r="I32" t="s">
        <v>108</v>
      </c>
      <c r="J32" t="s">
        <v>18</v>
      </c>
      <c r="K32">
        <v>45000</v>
      </c>
    </row>
    <row r="33" spans="1:12" x14ac:dyDescent="0.3">
      <c r="A33" t="s">
        <v>109</v>
      </c>
      <c r="B33" t="s">
        <v>110</v>
      </c>
      <c r="C33" t="s">
        <v>21</v>
      </c>
      <c r="D33" s="1">
        <v>33856</v>
      </c>
      <c r="E33" s="1">
        <v>43435</v>
      </c>
      <c r="F33" s="1">
        <v>44985</v>
      </c>
      <c r="G33" t="s">
        <v>33</v>
      </c>
      <c r="H33" t="s">
        <v>23</v>
      </c>
      <c r="I33" t="s">
        <v>30</v>
      </c>
      <c r="J33" t="s">
        <v>18</v>
      </c>
      <c r="K33">
        <v>64000</v>
      </c>
      <c r="L33" t="s">
        <v>111</v>
      </c>
    </row>
    <row r="34" spans="1:12" x14ac:dyDescent="0.3">
      <c r="A34" t="s">
        <v>112</v>
      </c>
      <c r="B34" t="s">
        <v>113</v>
      </c>
      <c r="C34" t="s">
        <v>14</v>
      </c>
      <c r="D34" s="1">
        <v>31427</v>
      </c>
      <c r="E34" s="1">
        <v>41192</v>
      </c>
      <c r="G34" t="s">
        <v>28</v>
      </c>
      <c r="H34" t="s">
        <v>88</v>
      </c>
      <c r="I34" t="s">
        <v>24</v>
      </c>
      <c r="J34" t="s">
        <v>18</v>
      </c>
      <c r="K34">
        <v>180000</v>
      </c>
    </row>
    <row r="35" spans="1:12" x14ac:dyDescent="0.3">
      <c r="A35" t="s">
        <v>114</v>
      </c>
      <c r="B35" t="s">
        <v>115</v>
      </c>
      <c r="C35" t="s">
        <v>21</v>
      </c>
      <c r="D35" s="1">
        <v>35160</v>
      </c>
      <c r="E35" s="1">
        <v>44029</v>
      </c>
      <c r="G35" t="s">
        <v>15</v>
      </c>
      <c r="H35" t="s">
        <v>16</v>
      </c>
      <c r="I35" t="s">
        <v>34</v>
      </c>
      <c r="J35" t="s">
        <v>18</v>
      </c>
      <c r="K35">
        <v>41000</v>
      </c>
    </row>
    <row r="36" spans="1:12" x14ac:dyDescent="0.3">
      <c r="A36" t="s">
        <v>116</v>
      </c>
      <c r="B36" t="s">
        <v>117</v>
      </c>
      <c r="C36" t="s">
        <v>14</v>
      </c>
      <c r="D36" s="1">
        <v>33478</v>
      </c>
      <c r="E36" s="1">
        <v>42816</v>
      </c>
      <c r="G36" t="s">
        <v>43</v>
      </c>
      <c r="H36" t="s">
        <v>23</v>
      </c>
      <c r="I36" t="s">
        <v>30</v>
      </c>
      <c r="J36" t="s">
        <v>18</v>
      </c>
      <c r="K36">
        <v>69000</v>
      </c>
    </row>
    <row r="37" spans="1:12" x14ac:dyDescent="0.3">
      <c r="A37" t="s">
        <v>118</v>
      </c>
      <c r="B37" t="s">
        <v>119</v>
      </c>
      <c r="C37" t="s">
        <v>21</v>
      </c>
      <c r="D37" s="1">
        <v>35046</v>
      </c>
      <c r="E37" s="1">
        <v>44083</v>
      </c>
      <c r="G37" t="s">
        <v>22</v>
      </c>
      <c r="H37" t="s">
        <v>16</v>
      </c>
      <c r="I37" t="s">
        <v>120</v>
      </c>
      <c r="J37" t="s">
        <v>18</v>
      </c>
      <c r="K37">
        <v>43000</v>
      </c>
    </row>
    <row r="38" spans="1:12" x14ac:dyDescent="0.3">
      <c r="A38" t="s">
        <v>121</v>
      </c>
      <c r="B38" t="s">
        <v>122</v>
      </c>
      <c r="C38" t="s">
        <v>14</v>
      </c>
      <c r="D38" s="1">
        <v>32663</v>
      </c>
      <c r="E38" s="1">
        <v>42370</v>
      </c>
      <c r="G38" t="s">
        <v>28</v>
      </c>
      <c r="H38" t="s">
        <v>44</v>
      </c>
      <c r="I38" t="s">
        <v>30</v>
      </c>
      <c r="J38" t="s">
        <v>18</v>
      </c>
      <c r="K38">
        <v>105000</v>
      </c>
    </row>
    <row r="39" spans="1:12" x14ac:dyDescent="0.3">
      <c r="A39" t="s">
        <v>123</v>
      </c>
      <c r="B39" t="s">
        <v>124</v>
      </c>
      <c r="C39" t="s">
        <v>21</v>
      </c>
      <c r="D39" s="1">
        <v>36086</v>
      </c>
      <c r="E39" s="1">
        <v>44480</v>
      </c>
      <c r="G39" t="s">
        <v>15</v>
      </c>
      <c r="H39" t="s">
        <v>16</v>
      </c>
      <c r="I39" t="s">
        <v>125</v>
      </c>
      <c r="J39" t="s">
        <v>18</v>
      </c>
      <c r="K39">
        <v>38000</v>
      </c>
    </row>
    <row r="40" spans="1:12" x14ac:dyDescent="0.3">
      <c r="A40" t="s">
        <v>126</v>
      </c>
      <c r="B40" t="s">
        <v>127</v>
      </c>
      <c r="C40" t="s">
        <v>14</v>
      </c>
      <c r="D40" s="1">
        <v>31100</v>
      </c>
      <c r="E40" s="1">
        <v>40303</v>
      </c>
      <c r="G40" t="s">
        <v>33</v>
      </c>
      <c r="H40" t="s">
        <v>88</v>
      </c>
      <c r="I40" t="s">
        <v>17</v>
      </c>
      <c r="J40" t="s">
        <v>18</v>
      </c>
      <c r="K40">
        <v>170000</v>
      </c>
    </row>
    <row r="41" spans="1:12" x14ac:dyDescent="0.3">
      <c r="A41" t="s">
        <v>128</v>
      </c>
      <c r="B41" t="s">
        <v>129</v>
      </c>
      <c r="C41" t="s">
        <v>21</v>
      </c>
      <c r="D41" s="1">
        <v>34180</v>
      </c>
      <c r="E41" s="1">
        <v>43510</v>
      </c>
      <c r="G41" t="s">
        <v>28</v>
      </c>
      <c r="H41" t="s">
        <v>23</v>
      </c>
      <c r="I41" t="s">
        <v>24</v>
      </c>
      <c r="J41" t="s">
        <v>18</v>
      </c>
      <c r="K41">
        <v>71000</v>
      </c>
    </row>
    <row r="42" spans="1:12" x14ac:dyDescent="0.3">
      <c r="A42" t="s">
        <v>130</v>
      </c>
      <c r="B42" t="s">
        <v>131</v>
      </c>
      <c r="C42" t="s">
        <v>14</v>
      </c>
      <c r="D42" s="1">
        <v>33863</v>
      </c>
      <c r="E42" s="1">
        <v>43529</v>
      </c>
      <c r="G42" t="s">
        <v>22</v>
      </c>
      <c r="H42" t="s">
        <v>16</v>
      </c>
      <c r="I42" t="s">
        <v>45</v>
      </c>
      <c r="J42" t="s">
        <v>18</v>
      </c>
      <c r="K42">
        <v>47000</v>
      </c>
    </row>
    <row r="43" spans="1:12" x14ac:dyDescent="0.3">
      <c r="A43" t="s">
        <v>132</v>
      </c>
      <c r="B43" t="s">
        <v>133</v>
      </c>
      <c r="C43" t="s">
        <v>21</v>
      </c>
      <c r="D43" s="1">
        <v>34726</v>
      </c>
      <c r="E43" s="1">
        <v>44061</v>
      </c>
      <c r="G43" t="s">
        <v>33</v>
      </c>
      <c r="H43" t="s">
        <v>16</v>
      </c>
      <c r="I43" t="s">
        <v>17</v>
      </c>
      <c r="J43" t="s">
        <v>18</v>
      </c>
      <c r="K43">
        <v>45000</v>
      </c>
    </row>
    <row r="44" spans="1:12" x14ac:dyDescent="0.3">
      <c r="A44" t="s">
        <v>134</v>
      </c>
      <c r="B44" t="s">
        <v>135</v>
      </c>
      <c r="C44" t="s">
        <v>14</v>
      </c>
      <c r="D44" s="1">
        <v>32302</v>
      </c>
      <c r="E44" s="1">
        <v>42685</v>
      </c>
      <c r="G44" t="s">
        <v>43</v>
      </c>
      <c r="H44" t="s">
        <v>29</v>
      </c>
      <c r="I44" t="s">
        <v>57</v>
      </c>
      <c r="J44" t="s">
        <v>18</v>
      </c>
      <c r="K44">
        <v>90000</v>
      </c>
    </row>
    <row r="45" spans="1:12" x14ac:dyDescent="0.3">
      <c r="A45" t="s">
        <v>136</v>
      </c>
      <c r="B45" t="s">
        <v>137</v>
      </c>
      <c r="C45" t="s">
        <v>21</v>
      </c>
      <c r="D45" s="1">
        <v>35508</v>
      </c>
      <c r="E45" s="1">
        <v>44249</v>
      </c>
      <c r="G45" t="s">
        <v>28</v>
      </c>
      <c r="H45" t="s">
        <v>16</v>
      </c>
      <c r="I45" t="s">
        <v>125</v>
      </c>
      <c r="J45" t="s">
        <v>18</v>
      </c>
      <c r="K45">
        <v>42000</v>
      </c>
    </row>
    <row r="46" spans="1:12" x14ac:dyDescent="0.3">
      <c r="A46" t="s">
        <v>138</v>
      </c>
      <c r="B46" t="s">
        <v>139</v>
      </c>
      <c r="C46" t="s">
        <v>14</v>
      </c>
      <c r="D46" s="1">
        <v>33232</v>
      </c>
      <c r="E46" s="1">
        <v>42917</v>
      </c>
      <c r="F46" s="1">
        <v>44742</v>
      </c>
      <c r="G46" t="s">
        <v>15</v>
      </c>
      <c r="H46" t="s">
        <v>23</v>
      </c>
      <c r="I46" t="s">
        <v>30</v>
      </c>
      <c r="J46" t="s">
        <v>18</v>
      </c>
      <c r="K46">
        <v>62000</v>
      </c>
      <c r="L46" t="s">
        <v>37</v>
      </c>
    </row>
    <row r="47" spans="1:12" x14ac:dyDescent="0.3">
      <c r="A47" t="s">
        <v>140</v>
      </c>
      <c r="B47" t="s">
        <v>141</v>
      </c>
      <c r="C47" t="s">
        <v>21</v>
      </c>
      <c r="D47" s="1">
        <v>35260</v>
      </c>
      <c r="E47" s="1">
        <v>44089</v>
      </c>
      <c r="G47" t="s">
        <v>22</v>
      </c>
      <c r="H47" t="s">
        <v>23</v>
      </c>
      <c r="I47" t="s">
        <v>51</v>
      </c>
      <c r="J47" t="s">
        <v>18</v>
      </c>
      <c r="K47">
        <v>54000</v>
      </c>
    </row>
    <row r="48" spans="1:12" x14ac:dyDescent="0.3">
      <c r="A48" t="s">
        <v>142</v>
      </c>
      <c r="B48" t="s">
        <v>143</v>
      </c>
      <c r="C48" t="s">
        <v>14</v>
      </c>
      <c r="D48" s="1">
        <v>31080</v>
      </c>
      <c r="E48" s="1">
        <v>40461</v>
      </c>
      <c r="G48" t="s">
        <v>33</v>
      </c>
      <c r="H48" t="s">
        <v>44</v>
      </c>
      <c r="I48" t="s">
        <v>108</v>
      </c>
      <c r="J48" t="s">
        <v>18</v>
      </c>
      <c r="K48">
        <v>130000</v>
      </c>
    </row>
    <row r="49" spans="1:12" x14ac:dyDescent="0.3">
      <c r="A49" t="s">
        <v>144</v>
      </c>
      <c r="B49" t="s">
        <v>145</v>
      </c>
      <c r="C49" t="s">
        <v>21</v>
      </c>
      <c r="D49" s="1">
        <v>36108</v>
      </c>
      <c r="E49" s="1">
        <v>44564</v>
      </c>
      <c r="G49" t="s">
        <v>28</v>
      </c>
      <c r="H49" t="s">
        <v>16</v>
      </c>
      <c r="I49" t="s">
        <v>65</v>
      </c>
      <c r="J49" t="s">
        <v>48</v>
      </c>
      <c r="K49">
        <v>30000</v>
      </c>
    </row>
    <row r="50" spans="1:12" x14ac:dyDescent="0.3">
      <c r="A50" t="s">
        <v>146</v>
      </c>
      <c r="B50" t="s">
        <v>147</v>
      </c>
      <c r="C50" t="s">
        <v>14</v>
      </c>
      <c r="D50" s="1">
        <v>34110</v>
      </c>
      <c r="E50" s="1">
        <v>43635</v>
      </c>
      <c r="G50" t="s">
        <v>43</v>
      </c>
      <c r="H50" t="s">
        <v>16</v>
      </c>
      <c r="I50" t="s">
        <v>85</v>
      </c>
      <c r="J50" t="s">
        <v>18</v>
      </c>
      <c r="K50">
        <v>48000</v>
      </c>
    </row>
    <row r="51" spans="1:12" x14ac:dyDescent="0.3">
      <c r="A51" t="s">
        <v>148</v>
      </c>
      <c r="B51" t="s">
        <v>149</v>
      </c>
      <c r="C51" t="s">
        <v>14</v>
      </c>
      <c r="D51" s="1">
        <v>32727</v>
      </c>
      <c r="E51" s="1">
        <v>42414</v>
      </c>
      <c r="F51" s="1">
        <v>44938</v>
      </c>
      <c r="G51" t="s">
        <v>28</v>
      </c>
      <c r="H51" t="s">
        <v>23</v>
      </c>
      <c r="I51" t="s">
        <v>24</v>
      </c>
      <c r="J51" t="s">
        <v>18</v>
      </c>
      <c r="K51">
        <v>75000</v>
      </c>
      <c r="L51" t="s">
        <v>111</v>
      </c>
    </row>
    <row r="52" spans="1:12" x14ac:dyDescent="0.3">
      <c r="A52" t="s">
        <v>150</v>
      </c>
      <c r="B52" t="s">
        <v>151</v>
      </c>
      <c r="C52" t="s">
        <v>21</v>
      </c>
      <c r="D52" s="1">
        <v>34442</v>
      </c>
      <c r="E52" s="1">
        <v>43671</v>
      </c>
      <c r="G52" t="s">
        <v>22</v>
      </c>
      <c r="H52" t="s">
        <v>16</v>
      </c>
      <c r="I52" t="s">
        <v>152</v>
      </c>
      <c r="J52" t="s">
        <v>18</v>
      </c>
      <c r="K52">
        <v>41000</v>
      </c>
    </row>
    <row r="53" spans="1:12" x14ac:dyDescent="0.3">
      <c r="A53" t="s">
        <v>153</v>
      </c>
      <c r="B53" t="s">
        <v>154</v>
      </c>
      <c r="C53" t="s">
        <v>14</v>
      </c>
      <c r="D53" s="1">
        <v>33268</v>
      </c>
      <c r="E53" s="1">
        <v>43435</v>
      </c>
      <c r="G53" t="s">
        <v>43</v>
      </c>
      <c r="H53" t="s">
        <v>23</v>
      </c>
      <c r="I53" t="s">
        <v>155</v>
      </c>
      <c r="J53" t="s">
        <v>18</v>
      </c>
      <c r="K53">
        <v>67000</v>
      </c>
    </row>
    <row r="54" spans="1:12" x14ac:dyDescent="0.3">
      <c r="A54" t="s">
        <v>156</v>
      </c>
      <c r="B54" t="s">
        <v>157</v>
      </c>
      <c r="C54" t="s">
        <v>21</v>
      </c>
      <c r="D54" s="1">
        <v>35714</v>
      </c>
      <c r="E54" s="1">
        <v>44417</v>
      </c>
      <c r="G54" t="s">
        <v>33</v>
      </c>
      <c r="H54" t="s">
        <v>16</v>
      </c>
      <c r="I54" t="s">
        <v>30</v>
      </c>
      <c r="J54" t="s">
        <v>18</v>
      </c>
      <c r="K54">
        <v>39000</v>
      </c>
    </row>
    <row r="55" spans="1:12" x14ac:dyDescent="0.3">
      <c r="A55" t="s">
        <v>158</v>
      </c>
      <c r="B55" t="s">
        <v>159</v>
      </c>
      <c r="C55" t="s">
        <v>14</v>
      </c>
      <c r="D55" s="1">
        <v>31589</v>
      </c>
      <c r="E55" s="1">
        <v>41715</v>
      </c>
      <c r="G55" t="s">
        <v>28</v>
      </c>
      <c r="H55" t="s">
        <v>29</v>
      </c>
      <c r="I55" t="s">
        <v>160</v>
      </c>
      <c r="J55" t="s">
        <v>18</v>
      </c>
      <c r="K55">
        <v>98000</v>
      </c>
    </row>
    <row r="56" spans="1:12" x14ac:dyDescent="0.3">
      <c r="A56" t="s">
        <v>161</v>
      </c>
      <c r="B56" t="s">
        <v>162</v>
      </c>
      <c r="C56" t="s">
        <v>21</v>
      </c>
      <c r="D56" s="1">
        <v>36285</v>
      </c>
      <c r="E56" s="1">
        <v>44571</v>
      </c>
      <c r="G56" t="s">
        <v>22</v>
      </c>
      <c r="H56" t="s">
        <v>16</v>
      </c>
      <c r="I56" t="s">
        <v>125</v>
      </c>
      <c r="J56" t="s">
        <v>48</v>
      </c>
      <c r="K56">
        <v>33000</v>
      </c>
    </row>
    <row r="57" spans="1:12" x14ac:dyDescent="0.3">
      <c r="A57" t="s">
        <v>163</v>
      </c>
      <c r="B57" t="s">
        <v>164</v>
      </c>
      <c r="C57" t="s">
        <v>14</v>
      </c>
      <c r="D57" s="1">
        <v>33221</v>
      </c>
      <c r="E57" s="1">
        <v>42845</v>
      </c>
      <c r="G57" t="s">
        <v>33</v>
      </c>
      <c r="H57" t="s">
        <v>23</v>
      </c>
      <c r="I57" t="s">
        <v>165</v>
      </c>
      <c r="J57" t="s">
        <v>18</v>
      </c>
      <c r="K57">
        <v>66000</v>
      </c>
    </row>
    <row r="58" spans="1:12" x14ac:dyDescent="0.3">
      <c r="A58" t="s">
        <v>166</v>
      </c>
      <c r="B58" t="s">
        <v>167</v>
      </c>
      <c r="C58" t="s">
        <v>21</v>
      </c>
      <c r="D58" s="1">
        <v>34943</v>
      </c>
      <c r="E58" s="1">
        <v>43997</v>
      </c>
      <c r="F58" s="1">
        <v>45064</v>
      </c>
      <c r="G58" t="s">
        <v>15</v>
      </c>
      <c r="H58" t="s">
        <v>16</v>
      </c>
      <c r="I58" t="s">
        <v>24</v>
      </c>
      <c r="J58" t="s">
        <v>18</v>
      </c>
      <c r="K58">
        <v>44000</v>
      </c>
      <c r="L58" t="s">
        <v>76</v>
      </c>
    </row>
    <row r="59" spans="1:12" x14ac:dyDescent="0.3">
      <c r="A59" t="s">
        <v>168</v>
      </c>
      <c r="B59" t="s">
        <v>169</v>
      </c>
      <c r="C59" t="s">
        <v>14</v>
      </c>
      <c r="D59" s="1">
        <v>30721</v>
      </c>
      <c r="E59" s="1">
        <v>40128</v>
      </c>
      <c r="G59" t="s">
        <v>43</v>
      </c>
      <c r="H59" t="s">
        <v>88</v>
      </c>
      <c r="I59" t="s">
        <v>91</v>
      </c>
      <c r="J59" t="s">
        <v>18</v>
      </c>
      <c r="K59">
        <v>165000</v>
      </c>
    </row>
    <row r="60" spans="1:12" x14ac:dyDescent="0.3">
      <c r="A60" t="s">
        <v>170</v>
      </c>
      <c r="B60" t="s">
        <v>171</v>
      </c>
      <c r="C60" t="s">
        <v>21</v>
      </c>
      <c r="D60" s="1">
        <v>35269</v>
      </c>
      <c r="E60" s="1">
        <v>44257</v>
      </c>
      <c r="G60" t="s">
        <v>28</v>
      </c>
      <c r="H60" t="s">
        <v>16</v>
      </c>
      <c r="I60" t="s">
        <v>51</v>
      </c>
      <c r="J60" t="s">
        <v>18</v>
      </c>
      <c r="K60">
        <v>41000</v>
      </c>
    </row>
    <row r="61" spans="1:12" x14ac:dyDescent="0.3">
      <c r="A61" t="s">
        <v>172</v>
      </c>
      <c r="B61" t="s">
        <v>173</v>
      </c>
      <c r="C61" t="s">
        <v>14</v>
      </c>
      <c r="D61" s="1">
        <v>33833</v>
      </c>
      <c r="E61" s="1">
        <v>43374</v>
      </c>
      <c r="G61" t="s">
        <v>33</v>
      </c>
      <c r="H61" t="s">
        <v>29</v>
      </c>
      <c r="I61" t="s">
        <v>17</v>
      </c>
      <c r="J61" t="s">
        <v>18</v>
      </c>
      <c r="K61">
        <v>92000</v>
      </c>
    </row>
    <row r="62" spans="1:12" x14ac:dyDescent="0.3">
      <c r="A62" t="s">
        <v>174</v>
      </c>
      <c r="B62" t="s">
        <v>175</v>
      </c>
      <c r="C62" t="s">
        <v>21</v>
      </c>
      <c r="D62" s="1">
        <v>36141</v>
      </c>
      <c r="E62" s="1">
        <v>44746</v>
      </c>
      <c r="G62" t="s">
        <v>22</v>
      </c>
      <c r="H62" t="s">
        <v>16</v>
      </c>
      <c r="I62" t="s">
        <v>30</v>
      </c>
      <c r="J62" t="s">
        <v>48</v>
      </c>
      <c r="K62">
        <v>31000</v>
      </c>
    </row>
    <row r="63" spans="1:12" x14ac:dyDescent="0.3">
      <c r="A63" t="s">
        <v>176</v>
      </c>
      <c r="B63" t="s">
        <v>177</v>
      </c>
      <c r="C63" t="s">
        <v>14</v>
      </c>
      <c r="D63" s="1">
        <v>31925</v>
      </c>
      <c r="E63" s="1">
        <v>42020</v>
      </c>
      <c r="G63" t="s">
        <v>43</v>
      </c>
      <c r="H63" t="s">
        <v>44</v>
      </c>
      <c r="I63" t="s">
        <v>57</v>
      </c>
      <c r="J63" t="s">
        <v>18</v>
      </c>
      <c r="K63">
        <v>118000</v>
      </c>
    </row>
    <row r="64" spans="1:12" x14ac:dyDescent="0.3">
      <c r="A64" t="s">
        <v>178</v>
      </c>
      <c r="B64" t="s">
        <v>179</v>
      </c>
      <c r="C64" t="s">
        <v>21</v>
      </c>
      <c r="D64" s="1">
        <v>34396</v>
      </c>
      <c r="E64" s="1">
        <v>43717</v>
      </c>
      <c r="G64" t="s">
        <v>28</v>
      </c>
      <c r="H64" t="s">
        <v>23</v>
      </c>
      <c r="I64" t="s">
        <v>85</v>
      </c>
      <c r="J64" t="s">
        <v>18</v>
      </c>
      <c r="K64">
        <v>70000</v>
      </c>
    </row>
    <row r="65" spans="1:12" x14ac:dyDescent="0.3">
      <c r="A65" t="s">
        <v>180</v>
      </c>
      <c r="B65" t="s">
        <v>181</v>
      </c>
      <c r="C65" t="s">
        <v>14</v>
      </c>
      <c r="D65" s="1">
        <v>33500</v>
      </c>
      <c r="E65" s="1">
        <v>43156</v>
      </c>
      <c r="F65" s="1">
        <v>44848</v>
      </c>
      <c r="G65" t="s">
        <v>15</v>
      </c>
      <c r="H65" t="s">
        <v>23</v>
      </c>
      <c r="I65" t="s">
        <v>45</v>
      </c>
      <c r="J65" t="s">
        <v>18</v>
      </c>
      <c r="K65">
        <v>64000</v>
      </c>
      <c r="L65" t="s">
        <v>52</v>
      </c>
    </row>
    <row r="66" spans="1:12" x14ac:dyDescent="0.3">
      <c r="A66" t="s">
        <v>182</v>
      </c>
      <c r="B66" t="s">
        <v>183</v>
      </c>
      <c r="C66" t="s">
        <v>21</v>
      </c>
      <c r="D66" s="1">
        <v>33976</v>
      </c>
      <c r="E66" s="1">
        <v>43588</v>
      </c>
      <c r="G66" t="s">
        <v>33</v>
      </c>
      <c r="H66" t="s">
        <v>16</v>
      </c>
      <c r="I66" t="s">
        <v>184</v>
      </c>
      <c r="J66" t="s">
        <v>18</v>
      </c>
      <c r="K66">
        <v>42000</v>
      </c>
    </row>
    <row r="67" spans="1:12" x14ac:dyDescent="0.3">
      <c r="A67" t="s">
        <v>185</v>
      </c>
      <c r="B67" t="s">
        <v>186</v>
      </c>
      <c r="C67" t="s">
        <v>14</v>
      </c>
      <c r="D67" s="1">
        <v>32309</v>
      </c>
      <c r="E67" s="1">
        <v>42590</v>
      </c>
      <c r="G67" t="s">
        <v>28</v>
      </c>
      <c r="H67" t="s">
        <v>44</v>
      </c>
      <c r="I67" t="s">
        <v>30</v>
      </c>
      <c r="J67" t="s">
        <v>18</v>
      </c>
      <c r="K67">
        <v>112000</v>
      </c>
    </row>
    <row r="68" spans="1:12" x14ac:dyDescent="0.3">
      <c r="A68" t="s">
        <v>187</v>
      </c>
      <c r="B68" t="s">
        <v>188</v>
      </c>
      <c r="C68" t="s">
        <v>21</v>
      </c>
      <c r="D68" s="1">
        <v>35758</v>
      </c>
      <c r="E68" s="1">
        <v>44451</v>
      </c>
      <c r="G68" t="s">
        <v>22</v>
      </c>
      <c r="H68" t="s">
        <v>16</v>
      </c>
      <c r="I68" t="s">
        <v>189</v>
      </c>
      <c r="J68" t="s">
        <v>18</v>
      </c>
      <c r="K68">
        <v>38000</v>
      </c>
    </row>
    <row r="69" spans="1:12" x14ac:dyDescent="0.3">
      <c r="A69" t="s">
        <v>190</v>
      </c>
      <c r="B69" t="s">
        <v>191</v>
      </c>
      <c r="C69" t="s">
        <v>14</v>
      </c>
      <c r="D69" s="1">
        <v>32965</v>
      </c>
      <c r="E69" s="1">
        <v>42904</v>
      </c>
      <c r="G69" t="s">
        <v>43</v>
      </c>
      <c r="H69" t="s">
        <v>29</v>
      </c>
      <c r="I69" t="s">
        <v>192</v>
      </c>
      <c r="J69" t="s">
        <v>18</v>
      </c>
      <c r="K69">
        <v>85000</v>
      </c>
    </row>
    <row r="70" spans="1:12" x14ac:dyDescent="0.3">
      <c r="A70" t="s">
        <v>193</v>
      </c>
      <c r="B70" t="s">
        <v>194</v>
      </c>
      <c r="C70" t="s">
        <v>21</v>
      </c>
      <c r="D70" s="1">
        <v>34940</v>
      </c>
      <c r="E70" s="1">
        <v>43841</v>
      </c>
      <c r="G70" t="s">
        <v>33</v>
      </c>
      <c r="H70" t="s">
        <v>23</v>
      </c>
      <c r="I70" t="s">
        <v>57</v>
      </c>
      <c r="J70" t="s">
        <v>18</v>
      </c>
      <c r="K70">
        <v>60000</v>
      </c>
    </row>
    <row r="71" spans="1:12" x14ac:dyDescent="0.3">
      <c r="A71" t="s">
        <v>195</v>
      </c>
      <c r="B71" t="s">
        <v>196</v>
      </c>
      <c r="C71" t="s">
        <v>14</v>
      </c>
      <c r="D71" s="1">
        <v>34617</v>
      </c>
      <c r="E71" s="1">
        <v>43904</v>
      </c>
      <c r="G71" t="s">
        <v>28</v>
      </c>
      <c r="H71" t="s">
        <v>16</v>
      </c>
      <c r="I71" t="s">
        <v>197</v>
      </c>
      <c r="J71" t="s">
        <v>18</v>
      </c>
      <c r="K71">
        <v>45000</v>
      </c>
    </row>
    <row r="72" spans="1:12" x14ac:dyDescent="0.3">
      <c r="A72" t="s">
        <v>198</v>
      </c>
      <c r="B72" t="s">
        <v>199</v>
      </c>
      <c r="C72" t="s">
        <v>21</v>
      </c>
      <c r="D72" s="1">
        <v>35952</v>
      </c>
      <c r="E72" s="1">
        <v>44612</v>
      </c>
      <c r="G72" t="s">
        <v>22</v>
      </c>
      <c r="H72" t="s">
        <v>16</v>
      </c>
      <c r="I72" t="s">
        <v>24</v>
      </c>
      <c r="J72" t="s">
        <v>48</v>
      </c>
      <c r="K72">
        <v>32000</v>
      </c>
    </row>
    <row r="73" spans="1:12" x14ac:dyDescent="0.3">
      <c r="A73" t="s">
        <v>200</v>
      </c>
      <c r="B73" t="s">
        <v>201</v>
      </c>
      <c r="C73" t="s">
        <v>14</v>
      </c>
      <c r="D73" s="1">
        <v>32529</v>
      </c>
      <c r="E73" s="1">
        <v>42461</v>
      </c>
      <c r="G73" t="s">
        <v>43</v>
      </c>
      <c r="H73" t="s">
        <v>23</v>
      </c>
      <c r="I73" t="s">
        <v>202</v>
      </c>
      <c r="J73" t="s">
        <v>18</v>
      </c>
      <c r="K73">
        <v>68000</v>
      </c>
    </row>
    <row r="74" spans="1:12" x14ac:dyDescent="0.3">
      <c r="A74" t="s">
        <v>203</v>
      </c>
      <c r="B74" t="s">
        <v>204</v>
      </c>
      <c r="C74" t="s">
        <v>21</v>
      </c>
      <c r="D74" s="1">
        <v>35198</v>
      </c>
      <c r="E74" s="1">
        <v>44021</v>
      </c>
      <c r="G74" t="s">
        <v>33</v>
      </c>
      <c r="H74" t="s">
        <v>16</v>
      </c>
      <c r="I74" t="s">
        <v>85</v>
      </c>
      <c r="J74" t="s">
        <v>18</v>
      </c>
      <c r="K74">
        <v>43000</v>
      </c>
    </row>
    <row r="75" spans="1:12" x14ac:dyDescent="0.3">
      <c r="A75" t="s">
        <v>205</v>
      </c>
      <c r="B75" t="s">
        <v>206</v>
      </c>
      <c r="C75" t="s">
        <v>14</v>
      </c>
      <c r="D75" s="1">
        <v>31141</v>
      </c>
      <c r="E75" s="1">
        <v>40668</v>
      </c>
      <c r="G75" t="s">
        <v>28</v>
      </c>
      <c r="H75" t="s">
        <v>88</v>
      </c>
      <c r="I75" t="s">
        <v>62</v>
      </c>
      <c r="J75" t="s">
        <v>18</v>
      </c>
      <c r="K75">
        <v>175000</v>
      </c>
    </row>
    <row r="76" spans="1:12" x14ac:dyDescent="0.3">
      <c r="A76" t="s">
        <v>207</v>
      </c>
      <c r="B76" t="s">
        <v>208</v>
      </c>
      <c r="C76" t="s">
        <v>21</v>
      </c>
      <c r="D76" s="1">
        <v>36213</v>
      </c>
      <c r="E76" s="1">
        <v>44774</v>
      </c>
      <c r="G76" t="s">
        <v>22</v>
      </c>
      <c r="H76" t="s">
        <v>16</v>
      </c>
      <c r="I76" t="s">
        <v>209</v>
      </c>
      <c r="J76" t="s">
        <v>48</v>
      </c>
      <c r="K76">
        <v>30000</v>
      </c>
    </row>
    <row r="77" spans="1:12" x14ac:dyDescent="0.3">
      <c r="A77" t="s">
        <v>210</v>
      </c>
      <c r="B77" t="s">
        <v>211</v>
      </c>
      <c r="C77" t="s">
        <v>14</v>
      </c>
      <c r="D77" s="1">
        <v>33856</v>
      </c>
      <c r="E77" s="1">
        <v>43480</v>
      </c>
      <c r="G77" t="s">
        <v>43</v>
      </c>
      <c r="H77" t="s">
        <v>16</v>
      </c>
      <c r="I77" t="s">
        <v>212</v>
      </c>
      <c r="J77" t="s">
        <v>18</v>
      </c>
      <c r="K77">
        <v>46000</v>
      </c>
    </row>
    <row r="78" spans="1:12" x14ac:dyDescent="0.3">
      <c r="A78" t="s">
        <v>213</v>
      </c>
      <c r="B78" t="s">
        <v>214</v>
      </c>
      <c r="C78" t="s">
        <v>21</v>
      </c>
      <c r="D78" s="1">
        <v>34686</v>
      </c>
      <c r="E78" s="1">
        <v>43644</v>
      </c>
      <c r="G78" t="s">
        <v>33</v>
      </c>
      <c r="H78" t="s">
        <v>29</v>
      </c>
      <c r="I78" t="s">
        <v>40</v>
      </c>
      <c r="J78" t="s">
        <v>18</v>
      </c>
      <c r="K78">
        <v>90000</v>
      </c>
    </row>
    <row r="79" spans="1:12" x14ac:dyDescent="0.3">
      <c r="A79" t="s">
        <v>215</v>
      </c>
      <c r="B79" t="s">
        <v>216</v>
      </c>
      <c r="C79" t="s">
        <v>14</v>
      </c>
      <c r="D79" s="1">
        <v>32205</v>
      </c>
      <c r="E79" s="1">
        <v>42319</v>
      </c>
      <c r="G79" t="s">
        <v>28</v>
      </c>
      <c r="H79" t="s">
        <v>23</v>
      </c>
      <c r="I79" t="s">
        <v>125</v>
      </c>
      <c r="J79" t="s">
        <v>18</v>
      </c>
      <c r="K79">
        <v>74000</v>
      </c>
    </row>
    <row r="80" spans="1:12" x14ac:dyDescent="0.3">
      <c r="A80" t="s">
        <v>217</v>
      </c>
      <c r="B80" t="s">
        <v>218</v>
      </c>
      <c r="C80" t="s">
        <v>21</v>
      </c>
      <c r="D80" s="1">
        <v>35638</v>
      </c>
      <c r="E80" s="1">
        <v>44486</v>
      </c>
      <c r="G80" t="s">
        <v>22</v>
      </c>
      <c r="H80" t="s">
        <v>16</v>
      </c>
      <c r="I80" t="s">
        <v>45</v>
      </c>
      <c r="J80" t="s">
        <v>18</v>
      </c>
      <c r="K80">
        <v>40000</v>
      </c>
    </row>
    <row r="81" spans="1:11" x14ac:dyDescent="0.3">
      <c r="A81" t="s">
        <v>219</v>
      </c>
      <c r="B81" t="s">
        <v>220</v>
      </c>
      <c r="C81" t="s">
        <v>14</v>
      </c>
      <c r="D81" s="1">
        <v>31413</v>
      </c>
      <c r="E81" s="1">
        <v>40941</v>
      </c>
      <c r="G81" t="s">
        <v>43</v>
      </c>
      <c r="H81" t="s">
        <v>29</v>
      </c>
      <c r="I81" t="s">
        <v>221</v>
      </c>
      <c r="J81" t="s">
        <v>18</v>
      </c>
      <c r="K81">
        <v>88000</v>
      </c>
    </row>
    <row r="82" spans="1:11" x14ac:dyDescent="0.3">
      <c r="A82" t="s">
        <v>222</v>
      </c>
      <c r="B82" t="s">
        <v>223</v>
      </c>
      <c r="C82" t="s">
        <v>21</v>
      </c>
      <c r="D82" s="1">
        <v>34104</v>
      </c>
      <c r="E82" s="1">
        <v>43563</v>
      </c>
      <c r="G82" t="s">
        <v>33</v>
      </c>
      <c r="H82" t="s">
        <v>23</v>
      </c>
      <c r="I82" t="s">
        <v>17</v>
      </c>
      <c r="J82" t="s">
        <v>18</v>
      </c>
      <c r="K82">
        <v>62000</v>
      </c>
    </row>
    <row r="83" spans="1:11" x14ac:dyDescent="0.3">
      <c r="A83" t="s">
        <v>224</v>
      </c>
      <c r="B83" t="s">
        <v>225</v>
      </c>
      <c r="C83" t="s">
        <v>14</v>
      </c>
      <c r="D83" s="1">
        <v>33196</v>
      </c>
      <c r="E83" s="1">
        <v>42900</v>
      </c>
      <c r="G83" t="s">
        <v>28</v>
      </c>
      <c r="H83" t="s">
        <v>29</v>
      </c>
      <c r="I83" t="s">
        <v>34</v>
      </c>
      <c r="J83" t="s">
        <v>18</v>
      </c>
      <c r="K83">
        <v>97000</v>
      </c>
    </row>
    <row r="84" spans="1:11" x14ac:dyDescent="0.3">
      <c r="A84" t="s">
        <v>226</v>
      </c>
      <c r="B84" t="s">
        <v>227</v>
      </c>
      <c r="C84" t="s">
        <v>21</v>
      </c>
      <c r="D84" s="1">
        <v>36013</v>
      </c>
      <c r="E84" s="1">
        <v>44564</v>
      </c>
      <c r="G84" t="s">
        <v>22</v>
      </c>
      <c r="H84" t="s">
        <v>16</v>
      </c>
      <c r="I84" t="s">
        <v>228</v>
      </c>
      <c r="J84" t="s">
        <v>48</v>
      </c>
      <c r="K84">
        <v>31000</v>
      </c>
    </row>
    <row r="85" spans="1:11" x14ac:dyDescent="0.3">
      <c r="A85" t="s">
        <v>229</v>
      </c>
      <c r="B85" t="s">
        <v>230</v>
      </c>
      <c r="C85" t="s">
        <v>14</v>
      </c>
      <c r="D85" s="1">
        <v>31820</v>
      </c>
      <c r="E85" s="1">
        <v>41891</v>
      </c>
      <c r="G85" t="s">
        <v>43</v>
      </c>
      <c r="H85" t="s">
        <v>44</v>
      </c>
      <c r="I85" t="s">
        <v>197</v>
      </c>
      <c r="J85" t="s">
        <v>18</v>
      </c>
      <c r="K85">
        <v>120000</v>
      </c>
    </row>
    <row r="86" spans="1:11" x14ac:dyDescent="0.3">
      <c r="A86" t="s">
        <v>231</v>
      </c>
      <c r="B86" t="s">
        <v>232</v>
      </c>
      <c r="C86" t="s">
        <v>21</v>
      </c>
      <c r="D86" s="1">
        <v>34817</v>
      </c>
      <c r="E86" s="1">
        <v>44002</v>
      </c>
      <c r="G86" t="s">
        <v>33</v>
      </c>
      <c r="H86" t="s">
        <v>16</v>
      </c>
      <c r="I86" t="s">
        <v>233</v>
      </c>
      <c r="J86" t="s">
        <v>18</v>
      </c>
      <c r="K86">
        <v>41000</v>
      </c>
    </row>
    <row r="87" spans="1:11" x14ac:dyDescent="0.3">
      <c r="A87" t="s">
        <v>234</v>
      </c>
      <c r="B87" t="s">
        <v>235</v>
      </c>
      <c r="C87" t="s">
        <v>14</v>
      </c>
      <c r="D87" s="1">
        <v>32696</v>
      </c>
      <c r="E87" s="1">
        <v>42370</v>
      </c>
      <c r="G87" t="s">
        <v>28</v>
      </c>
      <c r="H87" t="s">
        <v>23</v>
      </c>
      <c r="I87" t="s">
        <v>71</v>
      </c>
      <c r="J87" t="s">
        <v>18</v>
      </c>
      <c r="K87">
        <v>72000</v>
      </c>
    </row>
    <row r="88" spans="1:11" x14ac:dyDescent="0.3">
      <c r="A88" t="s">
        <v>236</v>
      </c>
      <c r="B88" t="s">
        <v>237</v>
      </c>
      <c r="C88" t="s">
        <v>21</v>
      </c>
      <c r="D88" s="1">
        <v>35133</v>
      </c>
      <c r="E88" s="1">
        <v>44054</v>
      </c>
      <c r="G88" t="s">
        <v>22</v>
      </c>
      <c r="H88" t="s">
        <v>23</v>
      </c>
      <c r="I88" t="s">
        <v>51</v>
      </c>
      <c r="J88" t="s">
        <v>18</v>
      </c>
      <c r="K88">
        <v>53000</v>
      </c>
    </row>
    <row r="89" spans="1:11" x14ac:dyDescent="0.3">
      <c r="A89" t="s">
        <v>238</v>
      </c>
      <c r="B89" t="s">
        <v>239</v>
      </c>
      <c r="C89" t="s">
        <v>14</v>
      </c>
      <c r="D89" s="1">
        <v>33541</v>
      </c>
      <c r="E89" s="1">
        <v>43145</v>
      </c>
      <c r="G89" t="s">
        <v>43</v>
      </c>
      <c r="H89" t="s">
        <v>16</v>
      </c>
      <c r="I89" t="s">
        <v>240</v>
      </c>
      <c r="J89" t="s">
        <v>18</v>
      </c>
      <c r="K89">
        <v>48000</v>
      </c>
    </row>
    <row r="90" spans="1:11" x14ac:dyDescent="0.3">
      <c r="A90" t="s">
        <v>241</v>
      </c>
      <c r="B90" t="s">
        <v>242</v>
      </c>
      <c r="C90" t="s">
        <v>21</v>
      </c>
      <c r="D90" s="1">
        <v>34351</v>
      </c>
      <c r="E90" s="1">
        <v>43622</v>
      </c>
      <c r="G90" t="s">
        <v>33</v>
      </c>
      <c r="H90" t="s">
        <v>29</v>
      </c>
      <c r="I90" t="s">
        <v>120</v>
      </c>
      <c r="J90" t="s">
        <v>18</v>
      </c>
      <c r="K90">
        <v>92000</v>
      </c>
    </row>
    <row r="91" spans="1:11" x14ac:dyDescent="0.3">
      <c r="A91" t="s">
        <v>243</v>
      </c>
      <c r="B91" t="s">
        <v>244</v>
      </c>
      <c r="C91" t="s">
        <v>14</v>
      </c>
      <c r="D91" s="1">
        <v>31172</v>
      </c>
      <c r="E91" s="1">
        <v>40605</v>
      </c>
      <c r="G91" t="s">
        <v>28</v>
      </c>
      <c r="H91" t="s">
        <v>88</v>
      </c>
      <c r="I91" t="s">
        <v>245</v>
      </c>
      <c r="J91" t="s">
        <v>18</v>
      </c>
      <c r="K91">
        <v>168000</v>
      </c>
    </row>
    <row r="92" spans="1:11" x14ac:dyDescent="0.3">
      <c r="A92" t="s">
        <v>246</v>
      </c>
      <c r="B92" t="s">
        <v>247</v>
      </c>
      <c r="C92" t="s">
        <v>21</v>
      </c>
      <c r="D92" s="1">
        <v>36426</v>
      </c>
      <c r="E92" s="1">
        <v>44805</v>
      </c>
      <c r="G92" t="s">
        <v>22</v>
      </c>
      <c r="H92" t="s">
        <v>16</v>
      </c>
      <c r="I92" t="s">
        <v>57</v>
      </c>
      <c r="J92" t="s">
        <v>48</v>
      </c>
      <c r="K92">
        <v>30000</v>
      </c>
    </row>
    <row r="93" spans="1:11" x14ac:dyDescent="0.3">
      <c r="A93" t="s">
        <v>248</v>
      </c>
      <c r="B93" t="s">
        <v>249</v>
      </c>
      <c r="C93" t="s">
        <v>14</v>
      </c>
      <c r="D93" s="1">
        <v>32247</v>
      </c>
      <c r="E93" s="1">
        <v>42653</v>
      </c>
      <c r="G93" t="s">
        <v>43</v>
      </c>
      <c r="H93" t="s">
        <v>23</v>
      </c>
      <c r="I93" t="s">
        <v>250</v>
      </c>
      <c r="J93" t="s">
        <v>18</v>
      </c>
      <c r="K93">
        <v>70000</v>
      </c>
    </row>
    <row r="94" spans="1:11" x14ac:dyDescent="0.3">
      <c r="A94" t="s">
        <v>251</v>
      </c>
      <c r="B94" t="s">
        <v>252</v>
      </c>
      <c r="C94" t="s">
        <v>21</v>
      </c>
      <c r="D94" s="1">
        <v>35463</v>
      </c>
      <c r="E94" s="1">
        <v>44396</v>
      </c>
      <c r="G94" t="s">
        <v>33</v>
      </c>
      <c r="H94" t="s">
        <v>16</v>
      </c>
      <c r="I94" t="s">
        <v>253</v>
      </c>
      <c r="J94" t="s">
        <v>18</v>
      </c>
      <c r="K94">
        <v>39000</v>
      </c>
    </row>
    <row r="95" spans="1:11" x14ac:dyDescent="0.3">
      <c r="A95" t="s">
        <v>254</v>
      </c>
      <c r="B95" t="s">
        <v>255</v>
      </c>
      <c r="C95" t="s">
        <v>14</v>
      </c>
      <c r="D95" s="1">
        <v>34284</v>
      </c>
      <c r="E95" s="1">
        <v>43487</v>
      </c>
      <c r="G95" t="s">
        <v>28</v>
      </c>
      <c r="H95" t="s">
        <v>16</v>
      </c>
      <c r="I95" t="s">
        <v>45</v>
      </c>
      <c r="J95" t="s">
        <v>18</v>
      </c>
      <c r="K95">
        <v>46000</v>
      </c>
    </row>
    <row r="96" spans="1:11" x14ac:dyDescent="0.3">
      <c r="A96" t="s">
        <v>256</v>
      </c>
      <c r="B96" t="s">
        <v>257</v>
      </c>
      <c r="C96" t="s">
        <v>21</v>
      </c>
      <c r="D96" s="1">
        <v>34858</v>
      </c>
      <c r="E96" s="1">
        <v>43966</v>
      </c>
      <c r="G96" t="s">
        <v>22</v>
      </c>
      <c r="H96" t="s">
        <v>16</v>
      </c>
      <c r="I96" t="s">
        <v>108</v>
      </c>
      <c r="J96" t="s">
        <v>18</v>
      </c>
      <c r="K96">
        <v>42000</v>
      </c>
    </row>
    <row r="97" spans="1:11" x14ac:dyDescent="0.3">
      <c r="A97" t="s">
        <v>258</v>
      </c>
      <c r="B97" t="s">
        <v>259</v>
      </c>
      <c r="C97" t="s">
        <v>14</v>
      </c>
      <c r="D97" s="1">
        <v>32014</v>
      </c>
      <c r="E97" s="1">
        <v>41891</v>
      </c>
      <c r="G97" t="s">
        <v>43</v>
      </c>
      <c r="H97" t="s">
        <v>29</v>
      </c>
      <c r="I97" t="s">
        <v>260</v>
      </c>
      <c r="J97" t="s">
        <v>18</v>
      </c>
      <c r="K97">
        <v>89000</v>
      </c>
    </row>
    <row r="98" spans="1:11" x14ac:dyDescent="0.3">
      <c r="A98" t="s">
        <v>261</v>
      </c>
      <c r="B98" t="s">
        <v>262</v>
      </c>
      <c r="C98" t="s">
        <v>21</v>
      </c>
      <c r="D98" s="1">
        <v>35356</v>
      </c>
      <c r="E98" s="1">
        <v>44409</v>
      </c>
      <c r="G98" t="s">
        <v>33</v>
      </c>
      <c r="H98" t="s">
        <v>23</v>
      </c>
      <c r="I98" t="s">
        <v>263</v>
      </c>
      <c r="J98" t="s">
        <v>18</v>
      </c>
      <c r="K98">
        <v>61000</v>
      </c>
    </row>
    <row r="99" spans="1:11" x14ac:dyDescent="0.3">
      <c r="A99" t="s">
        <v>264</v>
      </c>
      <c r="B99" t="s">
        <v>265</v>
      </c>
      <c r="C99" t="s">
        <v>14</v>
      </c>
      <c r="D99" s="1">
        <v>32874</v>
      </c>
      <c r="E99" s="1">
        <v>43081</v>
      </c>
      <c r="G99" t="s">
        <v>28</v>
      </c>
      <c r="H99" t="s">
        <v>44</v>
      </c>
      <c r="I99" t="s">
        <v>266</v>
      </c>
      <c r="J99" t="s">
        <v>18</v>
      </c>
      <c r="K99">
        <v>108000</v>
      </c>
    </row>
    <row r="100" spans="1:11" x14ac:dyDescent="0.3">
      <c r="A100" t="s">
        <v>267</v>
      </c>
      <c r="B100" t="s">
        <v>268</v>
      </c>
      <c r="C100" t="s">
        <v>21</v>
      </c>
      <c r="D100" s="1">
        <v>35881</v>
      </c>
      <c r="E100" s="1">
        <v>44597</v>
      </c>
      <c r="G100" t="s">
        <v>22</v>
      </c>
      <c r="H100" t="s">
        <v>16</v>
      </c>
      <c r="I100" t="s">
        <v>269</v>
      </c>
      <c r="J100" t="s">
        <v>48</v>
      </c>
      <c r="K100">
        <v>32000</v>
      </c>
    </row>
    <row r="101" spans="1:11" x14ac:dyDescent="0.3">
      <c r="A101" t="s">
        <v>270</v>
      </c>
      <c r="B101" t="s">
        <v>271</v>
      </c>
      <c r="C101" t="s">
        <v>14</v>
      </c>
      <c r="D101" s="1">
        <v>30839</v>
      </c>
      <c r="E101" s="1">
        <v>40096</v>
      </c>
      <c r="G101" t="s">
        <v>43</v>
      </c>
      <c r="H101" t="s">
        <v>88</v>
      </c>
      <c r="I101" t="s">
        <v>272</v>
      </c>
      <c r="J101" t="s">
        <v>18</v>
      </c>
      <c r="K101">
        <v>170000</v>
      </c>
    </row>
    <row r="102" spans="1:11" x14ac:dyDescent="0.3">
      <c r="A102" t="s">
        <v>273</v>
      </c>
      <c r="B102" t="s">
        <v>274</v>
      </c>
      <c r="C102" t="s">
        <v>14</v>
      </c>
      <c r="D102" s="1">
        <v>33340</v>
      </c>
      <c r="E102" s="1">
        <v>43256</v>
      </c>
      <c r="G102" t="s">
        <v>28</v>
      </c>
      <c r="H102" t="s">
        <v>16</v>
      </c>
      <c r="I102" t="s">
        <v>275</v>
      </c>
      <c r="J102" t="s">
        <v>18</v>
      </c>
      <c r="K102">
        <v>47000</v>
      </c>
    </row>
    <row r="103" spans="1:11" x14ac:dyDescent="0.3">
      <c r="A103" t="s">
        <v>276</v>
      </c>
      <c r="B103" t="s">
        <v>277</v>
      </c>
      <c r="C103" t="s">
        <v>21</v>
      </c>
      <c r="D103" s="1">
        <v>35298</v>
      </c>
      <c r="E103" s="1">
        <v>44031</v>
      </c>
      <c r="G103" t="s">
        <v>22</v>
      </c>
      <c r="H103" t="s">
        <v>16</v>
      </c>
      <c r="I103" t="s">
        <v>30</v>
      </c>
      <c r="J103" t="s">
        <v>18</v>
      </c>
      <c r="K103">
        <v>42000</v>
      </c>
    </row>
    <row r="104" spans="1:11" x14ac:dyDescent="0.3">
      <c r="A104" t="s">
        <v>278</v>
      </c>
      <c r="B104" t="s">
        <v>279</v>
      </c>
      <c r="C104" t="s">
        <v>14</v>
      </c>
      <c r="D104" s="1">
        <v>32570</v>
      </c>
      <c r="E104" s="1">
        <v>42370</v>
      </c>
      <c r="G104" t="s">
        <v>33</v>
      </c>
      <c r="H104" t="s">
        <v>29</v>
      </c>
      <c r="I104" t="s">
        <v>197</v>
      </c>
      <c r="J104" t="s">
        <v>18</v>
      </c>
      <c r="K104">
        <v>90000</v>
      </c>
    </row>
    <row r="105" spans="1:11" x14ac:dyDescent="0.3">
      <c r="A105" t="s">
        <v>280</v>
      </c>
      <c r="B105" t="s">
        <v>281</v>
      </c>
      <c r="C105" t="s">
        <v>21</v>
      </c>
      <c r="D105" s="1">
        <v>35690</v>
      </c>
      <c r="E105" s="1">
        <v>44479</v>
      </c>
      <c r="G105" t="s">
        <v>28</v>
      </c>
      <c r="H105" t="s">
        <v>16</v>
      </c>
      <c r="I105" t="s">
        <v>57</v>
      </c>
      <c r="J105" t="s">
        <v>48</v>
      </c>
      <c r="K105">
        <v>34000</v>
      </c>
    </row>
    <row r="106" spans="1:11" x14ac:dyDescent="0.3">
      <c r="A106" t="s">
        <v>282</v>
      </c>
      <c r="B106" t="s">
        <v>283</v>
      </c>
      <c r="C106" t="s">
        <v>14</v>
      </c>
      <c r="D106" s="1">
        <v>31727</v>
      </c>
      <c r="E106" s="1">
        <v>41774</v>
      </c>
      <c r="G106" t="s">
        <v>43</v>
      </c>
      <c r="H106" t="s">
        <v>44</v>
      </c>
      <c r="I106" t="s">
        <v>284</v>
      </c>
      <c r="J106" t="s">
        <v>18</v>
      </c>
      <c r="K106">
        <v>118000</v>
      </c>
    </row>
    <row r="107" spans="1:11" x14ac:dyDescent="0.3">
      <c r="A107" t="s">
        <v>285</v>
      </c>
      <c r="B107" t="s">
        <v>286</v>
      </c>
      <c r="C107" t="s">
        <v>21</v>
      </c>
      <c r="D107" s="1">
        <v>34738</v>
      </c>
      <c r="E107" s="1">
        <v>43636</v>
      </c>
      <c r="G107" t="s">
        <v>33</v>
      </c>
      <c r="H107" t="s">
        <v>16</v>
      </c>
      <c r="I107" t="s">
        <v>125</v>
      </c>
      <c r="J107" t="s">
        <v>18</v>
      </c>
      <c r="K107">
        <v>44000</v>
      </c>
    </row>
    <row r="108" spans="1:11" x14ac:dyDescent="0.3">
      <c r="A108" t="s">
        <v>287</v>
      </c>
      <c r="B108" t="s">
        <v>288</v>
      </c>
      <c r="C108" t="s">
        <v>14</v>
      </c>
      <c r="D108" s="1">
        <v>33781</v>
      </c>
      <c r="E108" s="1">
        <v>43177</v>
      </c>
      <c r="G108" t="s">
        <v>28</v>
      </c>
      <c r="H108" t="s">
        <v>23</v>
      </c>
      <c r="I108" t="s">
        <v>30</v>
      </c>
      <c r="J108" t="s">
        <v>18</v>
      </c>
      <c r="K108">
        <v>72000</v>
      </c>
    </row>
    <row r="109" spans="1:11" x14ac:dyDescent="0.3">
      <c r="A109" t="s">
        <v>289</v>
      </c>
      <c r="B109" t="s">
        <v>290</v>
      </c>
      <c r="C109" t="s">
        <v>21</v>
      </c>
      <c r="D109" s="1">
        <v>35889</v>
      </c>
      <c r="E109" s="1">
        <v>44573</v>
      </c>
      <c r="G109" t="s">
        <v>22</v>
      </c>
      <c r="H109" t="s">
        <v>16</v>
      </c>
      <c r="I109" t="s">
        <v>160</v>
      </c>
      <c r="J109" t="s">
        <v>48</v>
      </c>
      <c r="K109">
        <v>30000</v>
      </c>
    </row>
    <row r="110" spans="1:11" x14ac:dyDescent="0.3">
      <c r="A110" t="s">
        <v>291</v>
      </c>
      <c r="B110" t="s">
        <v>292</v>
      </c>
      <c r="C110" t="s">
        <v>14</v>
      </c>
      <c r="D110" s="1">
        <v>32039</v>
      </c>
      <c r="E110" s="1">
        <v>42192</v>
      </c>
      <c r="G110" t="s">
        <v>43</v>
      </c>
      <c r="H110" t="s">
        <v>29</v>
      </c>
      <c r="I110" t="s">
        <v>293</v>
      </c>
      <c r="J110" t="s">
        <v>18</v>
      </c>
      <c r="K110">
        <v>86000</v>
      </c>
    </row>
    <row r="111" spans="1:11" x14ac:dyDescent="0.3">
      <c r="A111" t="s">
        <v>294</v>
      </c>
      <c r="B111" t="s">
        <v>295</v>
      </c>
      <c r="C111" t="s">
        <v>21</v>
      </c>
      <c r="D111" s="1">
        <v>34637</v>
      </c>
      <c r="E111" s="1">
        <v>43702</v>
      </c>
      <c r="G111" t="s">
        <v>33</v>
      </c>
      <c r="H111" t="s">
        <v>23</v>
      </c>
      <c r="I111" t="s">
        <v>85</v>
      </c>
      <c r="J111" t="s">
        <v>18</v>
      </c>
      <c r="K111">
        <v>61000</v>
      </c>
    </row>
    <row r="112" spans="1:11" x14ac:dyDescent="0.3">
      <c r="A112" t="s">
        <v>296</v>
      </c>
      <c r="B112" t="s">
        <v>297</v>
      </c>
      <c r="C112" t="s">
        <v>14</v>
      </c>
      <c r="D112" s="1">
        <v>32887</v>
      </c>
      <c r="E112" s="1">
        <v>42826</v>
      </c>
      <c r="G112" t="s">
        <v>28</v>
      </c>
      <c r="H112" t="s">
        <v>29</v>
      </c>
      <c r="I112" t="s">
        <v>298</v>
      </c>
      <c r="J112" t="s">
        <v>18</v>
      </c>
      <c r="K112">
        <v>94000</v>
      </c>
    </row>
    <row r="113" spans="1:11" x14ac:dyDescent="0.3">
      <c r="A113" t="s">
        <v>299</v>
      </c>
      <c r="B113" t="s">
        <v>300</v>
      </c>
      <c r="C113" t="s">
        <v>21</v>
      </c>
      <c r="D113" s="1">
        <v>35190</v>
      </c>
      <c r="E113" s="1">
        <v>44083</v>
      </c>
      <c r="G113" t="s">
        <v>22</v>
      </c>
      <c r="H113" t="s">
        <v>16</v>
      </c>
      <c r="I113" t="s">
        <v>301</v>
      </c>
      <c r="J113" t="s">
        <v>18</v>
      </c>
      <c r="K113">
        <v>41000</v>
      </c>
    </row>
    <row r="114" spans="1:11" x14ac:dyDescent="0.3">
      <c r="A114" t="s">
        <v>302</v>
      </c>
      <c r="B114" t="s">
        <v>303</v>
      </c>
      <c r="C114" t="s">
        <v>14</v>
      </c>
      <c r="D114" s="1">
        <v>32495</v>
      </c>
      <c r="E114" s="1">
        <v>42685</v>
      </c>
      <c r="G114" t="s">
        <v>43</v>
      </c>
      <c r="H114" t="s">
        <v>23</v>
      </c>
      <c r="I114" t="s">
        <v>304</v>
      </c>
      <c r="J114" t="s">
        <v>18</v>
      </c>
      <c r="K114">
        <v>70000</v>
      </c>
    </row>
    <row r="115" spans="1:11" x14ac:dyDescent="0.3">
      <c r="A115" t="s">
        <v>305</v>
      </c>
      <c r="B115" t="s">
        <v>306</v>
      </c>
      <c r="C115" t="s">
        <v>21</v>
      </c>
      <c r="D115" s="1">
        <v>36368</v>
      </c>
      <c r="E115" s="1">
        <v>44805</v>
      </c>
      <c r="G115" t="s">
        <v>33</v>
      </c>
      <c r="H115" t="s">
        <v>16</v>
      </c>
      <c r="I115" t="s">
        <v>307</v>
      </c>
      <c r="J115" t="s">
        <v>48</v>
      </c>
      <c r="K115">
        <v>32000</v>
      </c>
    </row>
    <row r="116" spans="1:11" x14ac:dyDescent="0.3">
      <c r="A116" t="s">
        <v>308</v>
      </c>
      <c r="B116" t="s">
        <v>309</v>
      </c>
      <c r="C116" t="s">
        <v>14</v>
      </c>
      <c r="D116" s="1">
        <v>31299</v>
      </c>
      <c r="E116" s="1">
        <v>40983</v>
      </c>
      <c r="G116" t="s">
        <v>28</v>
      </c>
      <c r="H116" t="s">
        <v>44</v>
      </c>
      <c r="I116" t="s">
        <v>310</v>
      </c>
      <c r="J116" t="s">
        <v>18</v>
      </c>
      <c r="K116">
        <v>112000</v>
      </c>
    </row>
    <row r="117" spans="1:11" x14ac:dyDescent="0.3">
      <c r="A117" t="s">
        <v>311</v>
      </c>
      <c r="B117" t="s">
        <v>312</v>
      </c>
      <c r="C117" t="s">
        <v>21</v>
      </c>
      <c r="D117" s="1">
        <v>35483</v>
      </c>
      <c r="E117" s="1">
        <v>44395</v>
      </c>
      <c r="G117" t="s">
        <v>22</v>
      </c>
      <c r="H117" t="s">
        <v>16</v>
      </c>
      <c r="I117" t="s">
        <v>313</v>
      </c>
      <c r="J117" t="s">
        <v>18</v>
      </c>
      <c r="K117">
        <v>38000</v>
      </c>
    </row>
    <row r="118" spans="1:11" x14ac:dyDescent="0.3">
      <c r="A118" t="s">
        <v>314</v>
      </c>
      <c r="B118" t="s">
        <v>315</v>
      </c>
      <c r="C118" t="s">
        <v>14</v>
      </c>
      <c r="D118" s="1">
        <v>30682</v>
      </c>
      <c r="E118" s="1">
        <v>40096</v>
      </c>
      <c r="G118" t="s">
        <v>43</v>
      </c>
      <c r="H118" t="s">
        <v>88</v>
      </c>
      <c r="I118" t="s">
        <v>316</v>
      </c>
      <c r="J118" t="s">
        <v>18</v>
      </c>
      <c r="K118">
        <v>168000</v>
      </c>
    </row>
    <row r="119" spans="1:11" x14ac:dyDescent="0.3">
      <c r="A119" t="s">
        <v>317</v>
      </c>
      <c r="B119" t="s">
        <v>318</v>
      </c>
      <c r="C119" t="s">
        <v>21</v>
      </c>
      <c r="D119" s="1">
        <v>34862</v>
      </c>
      <c r="E119" s="1">
        <v>43926</v>
      </c>
      <c r="G119" t="s">
        <v>33</v>
      </c>
      <c r="H119" t="s">
        <v>23</v>
      </c>
      <c r="I119" t="s">
        <v>319</v>
      </c>
      <c r="J119" t="s">
        <v>18</v>
      </c>
      <c r="K119">
        <v>62000</v>
      </c>
    </row>
    <row r="120" spans="1:11" x14ac:dyDescent="0.3">
      <c r="A120" t="s">
        <v>320</v>
      </c>
      <c r="B120" t="s">
        <v>321</v>
      </c>
      <c r="C120" t="s">
        <v>14</v>
      </c>
      <c r="D120" s="1">
        <v>33478</v>
      </c>
      <c r="E120" s="1">
        <v>43313</v>
      </c>
      <c r="G120" t="s">
        <v>28</v>
      </c>
      <c r="H120" t="s">
        <v>16</v>
      </c>
      <c r="I120" t="s">
        <v>322</v>
      </c>
      <c r="J120" t="s">
        <v>18</v>
      </c>
      <c r="K120">
        <v>48000</v>
      </c>
    </row>
    <row r="121" spans="1:11" x14ac:dyDescent="0.3">
      <c r="A121" t="s">
        <v>323</v>
      </c>
      <c r="B121" t="s">
        <v>324</v>
      </c>
      <c r="C121" t="s">
        <v>21</v>
      </c>
      <c r="D121" s="1">
        <v>35811</v>
      </c>
      <c r="E121" s="1">
        <v>44581</v>
      </c>
      <c r="G121" t="s">
        <v>22</v>
      </c>
      <c r="H121" t="s">
        <v>16</v>
      </c>
      <c r="I121" t="s">
        <v>325</v>
      </c>
      <c r="J121" t="s">
        <v>48</v>
      </c>
      <c r="K121">
        <v>31000</v>
      </c>
    </row>
    <row r="122" spans="1:11" x14ac:dyDescent="0.3">
      <c r="A122" t="s">
        <v>326</v>
      </c>
      <c r="B122" t="s">
        <v>327</v>
      </c>
      <c r="C122" t="s">
        <v>14</v>
      </c>
      <c r="D122" s="1">
        <v>32665</v>
      </c>
      <c r="E122" s="1">
        <v>42716</v>
      </c>
      <c r="G122" t="s">
        <v>43</v>
      </c>
      <c r="H122" t="s">
        <v>29</v>
      </c>
      <c r="I122" t="s">
        <v>328</v>
      </c>
      <c r="J122" t="s">
        <v>18</v>
      </c>
      <c r="K122">
        <v>88000</v>
      </c>
    </row>
    <row r="123" spans="1:11" x14ac:dyDescent="0.3">
      <c r="A123" t="s">
        <v>329</v>
      </c>
      <c r="B123" t="s">
        <v>330</v>
      </c>
      <c r="C123" t="s">
        <v>21</v>
      </c>
      <c r="D123" s="1">
        <v>35127</v>
      </c>
      <c r="E123" s="1">
        <v>43966</v>
      </c>
      <c r="G123" t="s">
        <v>33</v>
      </c>
      <c r="H123" t="s">
        <v>16</v>
      </c>
      <c r="I123" t="s">
        <v>331</v>
      </c>
      <c r="J123" t="s">
        <v>18</v>
      </c>
      <c r="K123">
        <v>43000</v>
      </c>
    </row>
    <row r="124" spans="1:11" x14ac:dyDescent="0.3">
      <c r="A124" t="s">
        <v>332</v>
      </c>
      <c r="B124" t="s">
        <v>333</v>
      </c>
      <c r="C124" t="s">
        <v>14</v>
      </c>
      <c r="D124" s="1">
        <v>33927</v>
      </c>
      <c r="E124" s="1">
        <v>43653</v>
      </c>
      <c r="G124" t="s">
        <v>28</v>
      </c>
      <c r="H124" t="s">
        <v>23</v>
      </c>
      <c r="I124" t="s">
        <v>334</v>
      </c>
      <c r="J124" t="s">
        <v>18</v>
      </c>
      <c r="K124">
        <v>69000</v>
      </c>
    </row>
    <row r="125" spans="1:11" x14ac:dyDescent="0.3">
      <c r="A125" t="s">
        <v>335</v>
      </c>
      <c r="B125" t="s">
        <v>336</v>
      </c>
      <c r="C125" t="s">
        <v>21</v>
      </c>
      <c r="D125" s="1">
        <v>36275</v>
      </c>
      <c r="E125" s="1">
        <v>44837</v>
      </c>
      <c r="G125" t="s">
        <v>22</v>
      </c>
      <c r="H125" t="s">
        <v>16</v>
      </c>
      <c r="I125" t="s">
        <v>337</v>
      </c>
      <c r="J125" t="s">
        <v>48</v>
      </c>
      <c r="K125">
        <v>30000</v>
      </c>
    </row>
    <row r="126" spans="1:11" x14ac:dyDescent="0.3">
      <c r="A126" t="s">
        <v>338</v>
      </c>
      <c r="B126" t="s">
        <v>339</v>
      </c>
      <c r="C126" t="s">
        <v>14</v>
      </c>
      <c r="D126" s="1">
        <v>31819</v>
      </c>
      <c r="E126" s="1">
        <v>42005</v>
      </c>
      <c r="G126" t="s">
        <v>43</v>
      </c>
      <c r="H126" t="s">
        <v>44</v>
      </c>
      <c r="I126" t="s">
        <v>340</v>
      </c>
      <c r="J126" t="s">
        <v>18</v>
      </c>
      <c r="K126">
        <v>120000</v>
      </c>
    </row>
    <row r="127" spans="1:11" x14ac:dyDescent="0.3">
      <c r="A127" t="s">
        <v>341</v>
      </c>
      <c r="B127" t="s">
        <v>342</v>
      </c>
      <c r="C127" t="s">
        <v>21</v>
      </c>
      <c r="D127" s="1">
        <v>34554</v>
      </c>
      <c r="E127" s="1">
        <v>43717</v>
      </c>
      <c r="G127" t="s">
        <v>33</v>
      </c>
      <c r="H127" t="s">
        <v>29</v>
      </c>
      <c r="I127" t="s">
        <v>343</v>
      </c>
      <c r="J127" t="s">
        <v>18</v>
      </c>
      <c r="K127">
        <v>91000</v>
      </c>
    </row>
    <row r="128" spans="1:11" x14ac:dyDescent="0.3">
      <c r="A128" t="s">
        <v>344</v>
      </c>
      <c r="B128" t="s">
        <v>345</v>
      </c>
      <c r="C128" t="s">
        <v>14</v>
      </c>
      <c r="D128" s="1">
        <v>33071</v>
      </c>
      <c r="E128" s="1">
        <v>42780</v>
      </c>
      <c r="G128" t="s">
        <v>28</v>
      </c>
      <c r="H128" t="s">
        <v>29</v>
      </c>
      <c r="I128" t="s">
        <v>346</v>
      </c>
      <c r="J128" t="s">
        <v>18</v>
      </c>
      <c r="K128">
        <v>96000</v>
      </c>
    </row>
    <row r="129" spans="1:11" x14ac:dyDescent="0.3">
      <c r="A129" t="s">
        <v>347</v>
      </c>
      <c r="B129" t="s">
        <v>348</v>
      </c>
      <c r="C129" t="s">
        <v>21</v>
      </c>
      <c r="D129" s="1">
        <v>35510</v>
      </c>
      <c r="E129" s="1">
        <v>44352</v>
      </c>
      <c r="G129" t="s">
        <v>22</v>
      </c>
      <c r="H129" t="s">
        <v>16</v>
      </c>
      <c r="I129" t="s">
        <v>349</v>
      </c>
      <c r="J129" t="s">
        <v>18</v>
      </c>
      <c r="K129">
        <v>39000</v>
      </c>
    </row>
    <row r="130" spans="1:11" x14ac:dyDescent="0.3">
      <c r="A130" t="s">
        <v>350</v>
      </c>
      <c r="B130" t="s">
        <v>351</v>
      </c>
      <c r="C130" t="s">
        <v>14</v>
      </c>
      <c r="D130" s="1">
        <v>31685</v>
      </c>
      <c r="E130" s="1">
        <v>41716</v>
      </c>
      <c r="G130" t="s">
        <v>43</v>
      </c>
      <c r="H130" t="s">
        <v>88</v>
      </c>
      <c r="I130" t="s">
        <v>352</v>
      </c>
      <c r="J130" t="s">
        <v>18</v>
      </c>
      <c r="K130">
        <v>165000</v>
      </c>
    </row>
    <row r="131" spans="1:11" x14ac:dyDescent="0.3">
      <c r="A131" t="s">
        <v>353</v>
      </c>
      <c r="B131" t="s">
        <v>354</v>
      </c>
      <c r="C131" t="s">
        <v>21</v>
      </c>
      <c r="D131" s="1">
        <v>34828</v>
      </c>
      <c r="E131" s="1">
        <v>44034</v>
      </c>
      <c r="G131" t="s">
        <v>33</v>
      </c>
      <c r="H131" t="s">
        <v>23</v>
      </c>
      <c r="I131" t="s">
        <v>192</v>
      </c>
      <c r="J131" t="s">
        <v>18</v>
      </c>
      <c r="K131">
        <v>60000</v>
      </c>
    </row>
    <row r="132" spans="1:11" x14ac:dyDescent="0.3">
      <c r="A132" t="s">
        <v>355</v>
      </c>
      <c r="B132" t="s">
        <v>356</v>
      </c>
      <c r="C132" t="s">
        <v>14</v>
      </c>
      <c r="D132" s="1">
        <v>33970</v>
      </c>
      <c r="E132" s="1">
        <v>43831</v>
      </c>
      <c r="G132" t="s">
        <v>28</v>
      </c>
      <c r="H132" t="s">
        <v>16</v>
      </c>
      <c r="I132" t="s">
        <v>357</v>
      </c>
      <c r="J132" t="s">
        <v>18</v>
      </c>
      <c r="K132">
        <v>46000</v>
      </c>
    </row>
    <row r="133" spans="1:11" x14ac:dyDescent="0.3">
      <c r="A133" t="s">
        <v>358</v>
      </c>
      <c r="B133" t="s">
        <v>359</v>
      </c>
      <c r="C133" t="s">
        <v>21</v>
      </c>
      <c r="D133" s="1">
        <v>36082</v>
      </c>
      <c r="E133" s="1">
        <v>44607</v>
      </c>
      <c r="G133" t="s">
        <v>22</v>
      </c>
      <c r="H133" t="s">
        <v>16</v>
      </c>
      <c r="I133" t="s">
        <v>360</v>
      </c>
      <c r="J133" t="s">
        <v>48</v>
      </c>
      <c r="K133">
        <v>32000</v>
      </c>
    </row>
    <row r="134" spans="1:11" x14ac:dyDescent="0.3">
      <c r="A134" t="s">
        <v>361</v>
      </c>
      <c r="B134" t="s">
        <v>362</v>
      </c>
      <c r="C134" t="s">
        <v>14</v>
      </c>
      <c r="D134" s="1">
        <v>32602</v>
      </c>
      <c r="E134" s="1">
        <v>42558</v>
      </c>
      <c r="G134" t="s">
        <v>43</v>
      </c>
      <c r="H134" t="s">
        <v>29</v>
      </c>
      <c r="I134" t="s">
        <v>363</v>
      </c>
      <c r="J134" t="s">
        <v>18</v>
      </c>
      <c r="K134">
        <v>85000</v>
      </c>
    </row>
    <row r="135" spans="1:11" x14ac:dyDescent="0.3">
      <c r="A135" t="s">
        <v>364</v>
      </c>
      <c r="B135" t="s">
        <v>365</v>
      </c>
      <c r="C135" t="s">
        <v>21</v>
      </c>
      <c r="D135" s="1">
        <v>35234</v>
      </c>
      <c r="E135" s="1">
        <v>44063</v>
      </c>
      <c r="G135" t="s">
        <v>33</v>
      </c>
      <c r="H135" t="s">
        <v>16</v>
      </c>
      <c r="I135" t="s">
        <v>366</v>
      </c>
      <c r="J135" t="s">
        <v>18</v>
      </c>
      <c r="K135">
        <v>42000</v>
      </c>
    </row>
    <row r="136" spans="1:11" x14ac:dyDescent="0.3">
      <c r="A136" t="s">
        <v>367</v>
      </c>
      <c r="B136" t="s">
        <v>368</v>
      </c>
      <c r="C136" t="s">
        <v>14</v>
      </c>
      <c r="D136" s="1">
        <v>31410</v>
      </c>
      <c r="E136" s="1">
        <v>41192</v>
      </c>
      <c r="G136" t="s">
        <v>28</v>
      </c>
      <c r="H136" t="s">
        <v>44</v>
      </c>
      <c r="I136" t="s">
        <v>369</v>
      </c>
      <c r="J136" t="s">
        <v>18</v>
      </c>
      <c r="K136">
        <v>110000</v>
      </c>
    </row>
    <row r="137" spans="1:11" x14ac:dyDescent="0.3">
      <c r="A137" t="s">
        <v>370</v>
      </c>
      <c r="B137" t="s">
        <v>371</v>
      </c>
      <c r="C137" t="s">
        <v>21</v>
      </c>
      <c r="D137" s="1">
        <v>36193</v>
      </c>
      <c r="E137" s="1">
        <v>44805</v>
      </c>
      <c r="G137" t="s">
        <v>22</v>
      </c>
      <c r="H137" t="s">
        <v>16</v>
      </c>
      <c r="I137" t="s">
        <v>372</v>
      </c>
      <c r="J137" t="s">
        <v>48</v>
      </c>
      <c r="K137">
        <v>30000</v>
      </c>
    </row>
    <row r="138" spans="1:11" x14ac:dyDescent="0.3">
      <c r="A138" t="s">
        <v>373</v>
      </c>
      <c r="B138" t="s">
        <v>374</v>
      </c>
      <c r="C138" t="s">
        <v>14</v>
      </c>
      <c r="D138" s="1">
        <v>32331</v>
      </c>
      <c r="E138" s="1">
        <v>42129</v>
      </c>
      <c r="G138" t="s">
        <v>43</v>
      </c>
      <c r="H138" t="s">
        <v>23</v>
      </c>
      <c r="I138" t="s">
        <v>375</v>
      </c>
      <c r="J138" t="s">
        <v>18</v>
      </c>
      <c r="K138">
        <v>71000</v>
      </c>
    </row>
    <row r="139" spans="1:11" x14ac:dyDescent="0.3">
      <c r="A139" t="s">
        <v>376</v>
      </c>
      <c r="B139" t="s">
        <v>377</v>
      </c>
      <c r="C139" t="s">
        <v>21</v>
      </c>
      <c r="D139" s="1">
        <v>34349</v>
      </c>
      <c r="E139" s="1">
        <v>43634</v>
      </c>
      <c r="G139" t="s">
        <v>33</v>
      </c>
      <c r="H139" t="s">
        <v>23</v>
      </c>
      <c r="I139" t="s">
        <v>378</v>
      </c>
      <c r="J139" t="s">
        <v>18</v>
      </c>
      <c r="K139">
        <v>63000</v>
      </c>
    </row>
    <row r="140" spans="1:11" x14ac:dyDescent="0.3">
      <c r="A140" t="s">
        <v>379</v>
      </c>
      <c r="B140" t="s">
        <v>380</v>
      </c>
      <c r="C140" t="s">
        <v>14</v>
      </c>
      <c r="D140" s="1">
        <v>33320</v>
      </c>
      <c r="E140" s="1">
        <v>43191</v>
      </c>
      <c r="G140" t="s">
        <v>28</v>
      </c>
      <c r="H140" t="s">
        <v>16</v>
      </c>
      <c r="I140" t="s">
        <v>381</v>
      </c>
      <c r="J140" t="s">
        <v>18</v>
      </c>
      <c r="K140">
        <v>47000</v>
      </c>
    </row>
    <row r="141" spans="1:11" x14ac:dyDescent="0.3">
      <c r="A141" t="s">
        <v>382</v>
      </c>
      <c r="B141" t="s">
        <v>383</v>
      </c>
      <c r="C141" t="s">
        <v>21</v>
      </c>
      <c r="D141" s="1">
        <v>35682</v>
      </c>
      <c r="E141" s="1">
        <v>44511</v>
      </c>
      <c r="G141" t="s">
        <v>22</v>
      </c>
      <c r="H141" t="s">
        <v>16</v>
      </c>
      <c r="I141" t="s">
        <v>384</v>
      </c>
      <c r="J141" t="s">
        <v>18</v>
      </c>
      <c r="K141">
        <v>38000</v>
      </c>
    </row>
    <row r="142" spans="1:11" x14ac:dyDescent="0.3">
      <c r="A142" t="s">
        <v>385</v>
      </c>
      <c r="B142" t="s">
        <v>386</v>
      </c>
      <c r="C142" t="s">
        <v>14</v>
      </c>
      <c r="D142" s="1">
        <v>31652</v>
      </c>
      <c r="E142" s="1">
        <v>41640</v>
      </c>
      <c r="G142" t="s">
        <v>43</v>
      </c>
      <c r="H142" t="s">
        <v>29</v>
      </c>
      <c r="I142" t="s">
        <v>387</v>
      </c>
      <c r="J142" t="s">
        <v>18</v>
      </c>
      <c r="K142">
        <v>89000</v>
      </c>
    </row>
    <row r="143" spans="1:11" x14ac:dyDescent="0.3">
      <c r="A143" t="s">
        <v>388</v>
      </c>
      <c r="B143" t="s">
        <v>389</v>
      </c>
      <c r="C143" t="s">
        <v>21</v>
      </c>
      <c r="D143" s="1">
        <v>35045</v>
      </c>
      <c r="E143" s="1">
        <v>43875</v>
      </c>
      <c r="G143" t="s">
        <v>33</v>
      </c>
      <c r="H143" t="s">
        <v>16</v>
      </c>
      <c r="I143" t="s">
        <v>390</v>
      </c>
      <c r="J143" t="s">
        <v>18</v>
      </c>
      <c r="K143">
        <v>44000</v>
      </c>
    </row>
    <row r="144" spans="1:11" x14ac:dyDescent="0.3">
      <c r="A144" t="s">
        <v>391</v>
      </c>
      <c r="B144" t="s">
        <v>392</v>
      </c>
      <c r="C144" t="s">
        <v>14</v>
      </c>
      <c r="D144" s="1">
        <v>33030</v>
      </c>
      <c r="E144" s="1">
        <v>42987</v>
      </c>
      <c r="G144" t="s">
        <v>28</v>
      </c>
      <c r="H144" t="s">
        <v>23</v>
      </c>
      <c r="I144" t="s">
        <v>393</v>
      </c>
      <c r="J144" t="s">
        <v>18</v>
      </c>
      <c r="K144">
        <v>70000</v>
      </c>
    </row>
    <row r="145" spans="1:11" x14ac:dyDescent="0.3">
      <c r="A145" t="s">
        <v>394</v>
      </c>
      <c r="B145" t="s">
        <v>395</v>
      </c>
      <c r="C145" t="s">
        <v>21</v>
      </c>
      <c r="D145" s="1">
        <v>35904</v>
      </c>
      <c r="E145" s="1">
        <v>44774</v>
      </c>
      <c r="G145" t="s">
        <v>22</v>
      </c>
      <c r="H145" t="s">
        <v>16</v>
      </c>
      <c r="I145" t="s">
        <v>396</v>
      </c>
      <c r="J145" t="s">
        <v>48</v>
      </c>
      <c r="K145">
        <v>30000</v>
      </c>
    </row>
    <row r="146" spans="1:11" x14ac:dyDescent="0.3">
      <c r="A146" t="s">
        <v>397</v>
      </c>
      <c r="B146" t="s">
        <v>398</v>
      </c>
      <c r="C146" t="s">
        <v>14</v>
      </c>
      <c r="D146" s="1">
        <v>30965</v>
      </c>
      <c r="E146" s="1">
        <v>40605</v>
      </c>
      <c r="G146" t="s">
        <v>43</v>
      </c>
      <c r="H146" t="s">
        <v>88</v>
      </c>
      <c r="I146" t="s">
        <v>399</v>
      </c>
      <c r="J146" t="s">
        <v>18</v>
      </c>
      <c r="K146">
        <v>170000</v>
      </c>
    </row>
    <row r="147" spans="1:11" x14ac:dyDescent="0.3">
      <c r="A147" t="s">
        <v>400</v>
      </c>
      <c r="B147" t="s">
        <v>401</v>
      </c>
      <c r="C147" t="s">
        <v>21</v>
      </c>
      <c r="D147" s="1">
        <v>35273</v>
      </c>
      <c r="E147" s="1">
        <v>44027</v>
      </c>
      <c r="G147" t="s">
        <v>33</v>
      </c>
      <c r="H147" t="s">
        <v>16</v>
      </c>
      <c r="I147" t="s">
        <v>402</v>
      </c>
      <c r="J147" t="s">
        <v>18</v>
      </c>
      <c r="K147">
        <v>42000</v>
      </c>
    </row>
    <row r="148" spans="1:11" x14ac:dyDescent="0.3">
      <c r="A148" t="s">
        <v>403</v>
      </c>
      <c r="B148" t="s">
        <v>404</v>
      </c>
      <c r="C148" t="s">
        <v>14</v>
      </c>
      <c r="D148" s="1">
        <v>32522</v>
      </c>
      <c r="E148" s="1">
        <v>42495</v>
      </c>
      <c r="G148" t="s">
        <v>28</v>
      </c>
      <c r="H148" t="s">
        <v>29</v>
      </c>
      <c r="I148" t="s">
        <v>405</v>
      </c>
      <c r="J148" t="s">
        <v>18</v>
      </c>
      <c r="K148">
        <v>95000</v>
      </c>
    </row>
    <row r="149" spans="1:11" x14ac:dyDescent="0.3">
      <c r="A149" t="s">
        <v>406</v>
      </c>
      <c r="B149" t="s">
        <v>407</v>
      </c>
      <c r="C149" t="s">
        <v>21</v>
      </c>
      <c r="D149" s="1">
        <v>36285</v>
      </c>
      <c r="E149" s="1">
        <v>44816</v>
      </c>
      <c r="G149" t="s">
        <v>22</v>
      </c>
      <c r="H149" t="s">
        <v>16</v>
      </c>
      <c r="I149" t="s">
        <v>233</v>
      </c>
      <c r="J149" t="s">
        <v>48</v>
      </c>
      <c r="K149">
        <v>31000</v>
      </c>
    </row>
    <row r="150" spans="1:11" x14ac:dyDescent="0.3">
      <c r="A150" t="s">
        <v>408</v>
      </c>
      <c r="B150" t="s">
        <v>409</v>
      </c>
      <c r="C150" t="s">
        <v>14</v>
      </c>
      <c r="D150" s="1">
        <v>31778</v>
      </c>
      <c r="E150" s="1">
        <v>41827</v>
      </c>
      <c r="G150" t="s">
        <v>43</v>
      </c>
      <c r="H150" t="s">
        <v>44</v>
      </c>
      <c r="I150" t="s">
        <v>410</v>
      </c>
      <c r="J150" t="s">
        <v>18</v>
      </c>
      <c r="K150">
        <v>119000</v>
      </c>
    </row>
    <row r="151" spans="1:11" x14ac:dyDescent="0.3">
      <c r="A151" t="s">
        <v>411</v>
      </c>
      <c r="B151" t="s">
        <v>412</v>
      </c>
      <c r="C151" t="s">
        <v>21</v>
      </c>
      <c r="D151" s="1">
        <v>34776</v>
      </c>
      <c r="E151" s="1">
        <v>44002</v>
      </c>
      <c r="G151" t="s">
        <v>33</v>
      </c>
      <c r="H151" t="s">
        <v>23</v>
      </c>
      <c r="I151" t="s">
        <v>413</v>
      </c>
      <c r="J151" t="s">
        <v>18</v>
      </c>
      <c r="K151">
        <v>61000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51D6-686F-42F2-A73B-E22D4B5AEC8C}">
  <dimension ref="A1:V151"/>
  <sheetViews>
    <sheetView topLeftCell="A2" zoomScale="55" zoomScaleNormal="55" workbookViewId="0">
      <selection activeCell="A2" sqref="A2"/>
    </sheetView>
  </sheetViews>
  <sheetFormatPr defaultRowHeight="14.4" x14ac:dyDescent="0.3"/>
  <cols>
    <col min="1" max="1" width="15.5546875" bestFit="1" customWidth="1"/>
    <col min="2" max="2" width="19.109375" bestFit="1" customWidth="1"/>
    <col min="3" max="3" width="10.77734375" bestFit="1" customWidth="1"/>
    <col min="4" max="4" width="16.33203125" bestFit="1" customWidth="1"/>
    <col min="5" max="5" width="12.6640625" bestFit="1" customWidth="1"/>
    <col min="6" max="6" width="12.44140625" bestFit="1" customWidth="1"/>
    <col min="7" max="7" width="15" bestFit="1" customWidth="1"/>
    <col min="8" max="8" width="15.33203125" bestFit="1" customWidth="1"/>
    <col min="9" max="9" width="14.88671875" bestFit="1" customWidth="1"/>
    <col min="10" max="10" width="20.5546875" bestFit="1" customWidth="1"/>
    <col min="11" max="11" width="17.77734375" bestFit="1" customWidth="1"/>
    <col min="12" max="12" width="18.33203125" bestFit="1" customWidth="1"/>
    <col min="13" max="13" width="19.33203125" bestFit="1" customWidth="1"/>
    <col min="14" max="14" width="16.109375" bestFit="1" customWidth="1"/>
    <col min="15" max="15" width="23.77734375" bestFit="1" customWidth="1"/>
    <col min="16" max="16" width="16.109375" bestFit="1" customWidth="1"/>
    <col min="17" max="17" width="13.33203125" bestFit="1" customWidth="1"/>
    <col min="18" max="18" width="12.44140625" bestFit="1" customWidth="1"/>
    <col min="19" max="19" width="14.44140625" bestFit="1" customWidth="1"/>
    <col min="20" max="20" width="12.33203125" bestFit="1" customWidth="1"/>
    <col min="21" max="21" width="14.21875" bestFit="1" customWidth="1"/>
    <col min="22" max="22" width="10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414</v>
      </c>
      <c r="N1" t="s">
        <v>415</v>
      </c>
      <c r="O1" t="s">
        <v>416</v>
      </c>
      <c r="P1" t="s">
        <v>417</v>
      </c>
      <c r="Q1" t="s">
        <v>418</v>
      </c>
      <c r="R1" t="s">
        <v>419</v>
      </c>
      <c r="S1" t="s">
        <v>420</v>
      </c>
      <c r="T1" t="s">
        <v>421</v>
      </c>
      <c r="U1" t="s">
        <v>422</v>
      </c>
      <c r="V1" t="s">
        <v>423</v>
      </c>
    </row>
    <row r="2" spans="1:22" x14ac:dyDescent="0.3">
      <c r="A2" t="s">
        <v>12</v>
      </c>
      <c r="B2" t="s">
        <v>13</v>
      </c>
      <c r="C2" t="s">
        <v>14</v>
      </c>
      <c r="D2" s="1">
        <v>35197</v>
      </c>
      <c r="E2" s="1">
        <v>43992</v>
      </c>
      <c r="F2" s="1"/>
      <c r="G2" t="s">
        <v>15</v>
      </c>
      <c r="H2" t="s">
        <v>16</v>
      </c>
      <c r="I2" t="s">
        <v>17</v>
      </c>
      <c r="J2" t="s">
        <v>18</v>
      </c>
      <c r="K2">
        <v>42000</v>
      </c>
      <c r="M2" t="str">
        <f>IF(Table1_1[[#This Row],[Exit_Date]]="","Active","Exited")</f>
        <v>Active</v>
      </c>
      <c r="N2">
        <f>IF(Table1_1[[#This Row],[Employee_Status]]="Exited",1,0)</f>
        <v>0</v>
      </c>
      <c r="O2">
        <f>IF(Table1_1[[#This Row],[Employee_Status]]="Active",1,0)</f>
        <v>1</v>
      </c>
      <c r="P2" s="2">
        <f ca="1">IF(Table1_1[[#This Row],[Employee_Status]]="Active",YEARFRAC(Table1_1[[#This Row],[Join_Date]],TODAY()),YEARFRAC(Table1_1[[#This Row],[Join_Date]],Table1_1[[#This Row],[Exit_Date]]))</f>
        <v>5.6611111111111114</v>
      </c>
      <c r="Q2" s="3">
        <f ca="1">YEARFRAC(Table1_1[[#This Row],[Date_of_Birth]],TODAY())</f>
        <v>29.738888888888887</v>
      </c>
      <c r="R2">
        <f>YEAR(Table1_1[[#This Row],[Join_Date]])</f>
        <v>2020</v>
      </c>
      <c r="S2" t="str">
        <f>TEXT(Table1_1[[#This Row],[Join_Date]],"yyyy-mm")</f>
        <v>2020-06</v>
      </c>
      <c r="T2" t="str">
        <f>IF(Table1_1[[#This Row],[Exit_Date]]="","",YEAR(Table1_1[[#This Row],[Exit_Date]]))</f>
        <v/>
      </c>
      <c r="U2" t="str">
        <f>IF(Table1_1[[#This Row],[Exit_Date]]="","",TEXT(Table1_1[[#This Row],[Exit_Date]],"yyyy-mm"))</f>
        <v/>
      </c>
      <c r="V2">
        <f>IF(Table1_1[[#This Row],[Employment_Type]]="Contract",1,0)</f>
        <v>0</v>
      </c>
    </row>
    <row r="3" spans="1:22" x14ac:dyDescent="0.3">
      <c r="A3" t="s">
        <v>19</v>
      </c>
      <c r="B3" t="s">
        <v>20</v>
      </c>
      <c r="C3" t="s">
        <v>21</v>
      </c>
      <c r="D3" s="1">
        <v>34568</v>
      </c>
      <c r="E3" s="1">
        <v>43661</v>
      </c>
      <c r="F3" s="1">
        <v>45005</v>
      </c>
      <c r="G3" t="s">
        <v>22</v>
      </c>
      <c r="H3" t="s">
        <v>23</v>
      </c>
      <c r="I3" t="s">
        <v>24</v>
      </c>
      <c r="J3" t="s">
        <v>18</v>
      </c>
      <c r="K3">
        <v>55000</v>
      </c>
      <c r="L3" t="s">
        <v>25</v>
      </c>
      <c r="M3" t="str">
        <f>IF(Table1_1[[#This Row],[Exit_Date]]="","Active","Exited")</f>
        <v>Exited</v>
      </c>
      <c r="N3">
        <f>IF(Table1_1[[#This Row],[Employee_Status]]="Exited",1,0)</f>
        <v>1</v>
      </c>
      <c r="O3">
        <f>IF(Table1_1[[#This Row],[Employee_Status]]="Active",1,0)</f>
        <v>0</v>
      </c>
      <c r="P3" s="2">
        <f ca="1">IF(Table1_1[[#This Row],[Employee_Status]]="Active",YEARFRAC(Table1_1[[#This Row],[Join_Date]],TODAY()),YEARFRAC(Table1_1[[#This Row],[Join_Date]],Table1_1[[#This Row],[Exit_Date]]))</f>
        <v>3.6805555555555554</v>
      </c>
      <c r="Q3" s="3">
        <f ca="1">YEARFRAC(Table1_1[[#This Row],[Date_of_Birth]],TODAY())</f>
        <v>31.461111111111112</v>
      </c>
      <c r="R3">
        <f>YEAR(Table1_1[[#This Row],[Join_Date]])</f>
        <v>2019</v>
      </c>
      <c r="S3" t="str">
        <f>TEXT(Table1_1[[#This Row],[Join_Date]],"yyyy-mm")</f>
        <v>2019-07</v>
      </c>
      <c r="T3">
        <f>IF(Table1_1[[#This Row],[Exit_Date]]="","",YEAR(Table1_1[[#This Row],[Exit_Date]]))</f>
        <v>2023</v>
      </c>
      <c r="U3" t="str">
        <f>IF(Table1_1[[#This Row],[Exit_Date]]="","",TEXT(Table1_1[[#This Row],[Exit_Date]],"yyyy-mm"))</f>
        <v>2023-03</v>
      </c>
      <c r="V3">
        <f>IF(Table1_1[[#This Row],[Employment_Type]]="Contract",1,0)</f>
        <v>0</v>
      </c>
    </row>
    <row r="4" spans="1:22" x14ac:dyDescent="0.3">
      <c r="A4" t="s">
        <v>26</v>
      </c>
      <c r="B4" t="s">
        <v>27</v>
      </c>
      <c r="C4" t="s">
        <v>14</v>
      </c>
      <c r="D4" s="1">
        <v>33635</v>
      </c>
      <c r="E4" s="1">
        <v>43105</v>
      </c>
      <c r="F4" s="1"/>
      <c r="G4" t="s">
        <v>28</v>
      </c>
      <c r="H4" t="s">
        <v>29</v>
      </c>
      <c r="I4" t="s">
        <v>30</v>
      </c>
      <c r="J4" t="s">
        <v>18</v>
      </c>
      <c r="K4">
        <v>95000</v>
      </c>
      <c r="M4" t="str">
        <f>IF(Table1_1[[#This Row],[Exit_Date]]="","Active","Exited")</f>
        <v>Active</v>
      </c>
      <c r="N4">
        <f>IF(Table1_1[[#This Row],[Employee_Status]]="Exited",1,0)</f>
        <v>0</v>
      </c>
      <c r="O4">
        <f>IF(Table1_1[[#This Row],[Employee_Status]]="Active",1,0)</f>
        <v>1</v>
      </c>
      <c r="P4" s="2">
        <f ca="1">IF(Table1_1[[#This Row],[Employee_Status]]="Active",YEARFRAC(Table1_1[[#This Row],[Join_Date]],TODAY()),YEARFRAC(Table1_1[[#This Row],[Join_Date]],Table1_1[[#This Row],[Exit_Date]]))</f>
        <v>8.0916666666666668</v>
      </c>
      <c r="Q4" s="3">
        <f ca="1">YEARFRAC(Table1_1[[#This Row],[Date_of_Birth]],TODAY())</f>
        <v>34.019444444444446</v>
      </c>
      <c r="R4">
        <f>YEAR(Table1_1[[#This Row],[Join_Date]])</f>
        <v>2018</v>
      </c>
      <c r="S4" t="str">
        <f>TEXT(Table1_1[[#This Row],[Join_Date]],"yyyy-mm")</f>
        <v>2018-01</v>
      </c>
      <c r="T4" t="str">
        <f>IF(Table1_1[[#This Row],[Exit_Date]]="","",YEAR(Table1_1[[#This Row],[Exit_Date]]))</f>
        <v/>
      </c>
      <c r="U4" t="str">
        <f>IF(Table1_1[[#This Row],[Exit_Date]]="","",TEXT(Table1_1[[#This Row],[Exit_Date]],"yyyy-mm"))</f>
        <v/>
      </c>
      <c r="V4">
        <f>IF(Table1_1[[#This Row],[Employment_Type]]="Contract",1,0)</f>
        <v>0</v>
      </c>
    </row>
    <row r="5" spans="1:22" x14ac:dyDescent="0.3">
      <c r="A5" t="s">
        <v>31</v>
      </c>
      <c r="B5" t="s">
        <v>32</v>
      </c>
      <c r="C5" t="s">
        <v>21</v>
      </c>
      <c r="D5" s="1">
        <v>35753</v>
      </c>
      <c r="E5" s="1">
        <v>44420</v>
      </c>
      <c r="F5" s="1"/>
      <c r="G5" t="s">
        <v>33</v>
      </c>
      <c r="H5" t="s">
        <v>16</v>
      </c>
      <c r="I5" t="s">
        <v>34</v>
      </c>
      <c r="J5" t="s">
        <v>18</v>
      </c>
      <c r="K5">
        <v>38000</v>
      </c>
      <c r="M5" t="str">
        <f>IF(Table1_1[[#This Row],[Exit_Date]]="","Active","Exited")</f>
        <v>Active</v>
      </c>
      <c r="N5">
        <f>IF(Table1_1[[#This Row],[Employee_Status]]="Exited",1,0)</f>
        <v>0</v>
      </c>
      <c r="O5">
        <f>IF(Table1_1[[#This Row],[Employee_Status]]="Active",1,0)</f>
        <v>1</v>
      </c>
      <c r="P5" s="2">
        <f ca="1">IF(Table1_1[[#This Row],[Employee_Status]]="Active",YEARFRAC(Table1_1[[#This Row],[Join_Date]],TODAY()),YEARFRAC(Table1_1[[#This Row],[Join_Date]],Table1_1[[#This Row],[Exit_Date]]))</f>
        <v>4.4888888888888889</v>
      </c>
      <c r="Q5" s="3">
        <f ca="1">YEARFRAC(Table1_1[[#This Row],[Date_of_Birth]],TODAY())</f>
        <v>28.219444444444445</v>
      </c>
      <c r="R5">
        <f>YEAR(Table1_1[[#This Row],[Join_Date]])</f>
        <v>2021</v>
      </c>
      <c r="S5" t="str">
        <f>TEXT(Table1_1[[#This Row],[Join_Date]],"yyyy-mm")</f>
        <v>2021-08</v>
      </c>
      <c r="T5" t="str">
        <f>IF(Table1_1[[#This Row],[Exit_Date]]="","",YEAR(Table1_1[[#This Row],[Exit_Date]]))</f>
        <v/>
      </c>
      <c r="U5" t="str">
        <f>IF(Table1_1[[#This Row],[Exit_Date]]="","",TEXT(Table1_1[[#This Row],[Exit_Date]],"yyyy-mm"))</f>
        <v/>
      </c>
      <c r="V5">
        <f>IF(Table1_1[[#This Row],[Employment_Type]]="Contract",1,0)</f>
        <v>0</v>
      </c>
    </row>
    <row r="6" spans="1:22" x14ac:dyDescent="0.3">
      <c r="A6" t="s">
        <v>35</v>
      </c>
      <c r="B6" t="s">
        <v>36</v>
      </c>
      <c r="C6" t="s">
        <v>14</v>
      </c>
      <c r="D6" s="1">
        <v>34945</v>
      </c>
      <c r="E6" s="1">
        <v>43922</v>
      </c>
      <c r="F6" s="1">
        <v>44910</v>
      </c>
      <c r="G6" t="s">
        <v>15</v>
      </c>
      <c r="H6" t="s">
        <v>16</v>
      </c>
      <c r="I6" t="s">
        <v>17</v>
      </c>
      <c r="J6" t="s">
        <v>18</v>
      </c>
      <c r="K6">
        <v>45000</v>
      </c>
      <c r="L6" t="s">
        <v>37</v>
      </c>
      <c r="M6" t="str">
        <f>IF(Table1_1[[#This Row],[Exit_Date]]="","Active","Exited")</f>
        <v>Exited</v>
      </c>
      <c r="N6">
        <f>IF(Table1_1[[#This Row],[Employee_Status]]="Exited",1,0)</f>
        <v>1</v>
      </c>
      <c r="O6">
        <f>IF(Table1_1[[#This Row],[Employee_Status]]="Active",1,0)</f>
        <v>0</v>
      </c>
      <c r="P6" s="2">
        <f ca="1">IF(Table1_1[[#This Row],[Employee_Status]]="Active",YEARFRAC(Table1_1[[#This Row],[Join_Date]],TODAY()),YEARFRAC(Table1_1[[#This Row],[Join_Date]],Table1_1[[#This Row],[Exit_Date]]))</f>
        <v>2.7055555555555557</v>
      </c>
      <c r="Q6" s="3">
        <f ca="1">YEARFRAC(Table1_1[[#This Row],[Date_of_Birth]],TODAY())</f>
        <v>30.430555555555557</v>
      </c>
      <c r="R6">
        <f>YEAR(Table1_1[[#This Row],[Join_Date]])</f>
        <v>2020</v>
      </c>
      <c r="S6" t="str">
        <f>TEXT(Table1_1[[#This Row],[Join_Date]],"yyyy-mm")</f>
        <v>2020-04</v>
      </c>
      <c r="T6">
        <f>IF(Table1_1[[#This Row],[Exit_Date]]="","",YEAR(Table1_1[[#This Row],[Exit_Date]]))</f>
        <v>2022</v>
      </c>
      <c r="U6" t="str">
        <f>IF(Table1_1[[#This Row],[Exit_Date]]="","",TEXT(Table1_1[[#This Row],[Exit_Date]],"yyyy-mm"))</f>
        <v>2022-12</v>
      </c>
      <c r="V6">
        <f>IF(Table1_1[[#This Row],[Employment_Type]]="Contract",1,0)</f>
        <v>0</v>
      </c>
    </row>
    <row r="7" spans="1:22" x14ac:dyDescent="0.3">
      <c r="A7" t="s">
        <v>38</v>
      </c>
      <c r="B7" t="s">
        <v>39</v>
      </c>
      <c r="C7" t="s">
        <v>21</v>
      </c>
      <c r="D7" s="1">
        <v>34137</v>
      </c>
      <c r="E7" s="1">
        <v>43605</v>
      </c>
      <c r="F7" s="1"/>
      <c r="G7" t="s">
        <v>22</v>
      </c>
      <c r="H7" t="s">
        <v>29</v>
      </c>
      <c r="I7" t="s">
        <v>40</v>
      </c>
      <c r="J7" t="s">
        <v>18</v>
      </c>
      <c r="K7">
        <v>78000</v>
      </c>
      <c r="M7" t="str">
        <f>IF(Table1_1[[#This Row],[Exit_Date]]="","Active","Exited")</f>
        <v>Active</v>
      </c>
      <c r="N7">
        <f>IF(Table1_1[[#This Row],[Employee_Status]]="Exited",1,0)</f>
        <v>0</v>
      </c>
      <c r="O7">
        <f>IF(Table1_1[[#This Row],[Employee_Status]]="Active",1,0)</f>
        <v>1</v>
      </c>
      <c r="P7" s="2">
        <f ca="1">IF(Table1_1[[#This Row],[Employee_Status]]="Active",YEARFRAC(Table1_1[[#This Row],[Join_Date]],TODAY()),YEARFRAC(Table1_1[[#This Row],[Join_Date]],Table1_1[[#This Row],[Exit_Date]]))</f>
        <v>6.7166666666666668</v>
      </c>
      <c r="Q7" s="3">
        <f ca="1">YEARFRAC(Table1_1[[#This Row],[Date_of_Birth]],TODAY())</f>
        <v>32.641666666666666</v>
      </c>
      <c r="R7">
        <f>YEAR(Table1_1[[#This Row],[Join_Date]])</f>
        <v>2019</v>
      </c>
      <c r="S7" t="str">
        <f>TEXT(Table1_1[[#This Row],[Join_Date]],"yyyy-mm")</f>
        <v>2019-05</v>
      </c>
      <c r="T7" t="str">
        <f>IF(Table1_1[[#This Row],[Exit_Date]]="","",YEAR(Table1_1[[#This Row],[Exit_Date]]))</f>
        <v/>
      </c>
      <c r="U7" t="str">
        <f>IF(Table1_1[[#This Row],[Exit_Date]]="","",TEXT(Table1_1[[#This Row],[Exit_Date]],"yyyy-mm"))</f>
        <v/>
      </c>
      <c r="V7">
        <f>IF(Table1_1[[#This Row],[Employment_Type]]="Contract",1,0)</f>
        <v>0</v>
      </c>
    </row>
    <row r="8" spans="1:22" x14ac:dyDescent="0.3">
      <c r="A8" t="s">
        <v>41</v>
      </c>
      <c r="B8" t="s">
        <v>42</v>
      </c>
      <c r="C8" t="s">
        <v>14</v>
      </c>
      <c r="D8" s="1">
        <v>32884</v>
      </c>
      <c r="E8" s="1">
        <v>42767</v>
      </c>
      <c r="F8" s="1"/>
      <c r="G8" t="s">
        <v>43</v>
      </c>
      <c r="H8" t="s">
        <v>44</v>
      </c>
      <c r="I8" t="s">
        <v>45</v>
      </c>
      <c r="J8" t="s">
        <v>18</v>
      </c>
      <c r="K8">
        <v>110000</v>
      </c>
      <c r="M8" t="str">
        <f>IF(Table1_1[[#This Row],[Exit_Date]]="","Active","Exited")</f>
        <v>Active</v>
      </c>
      <c r="N8">
        <f>IF(Table1_1[[#This Row],[Employee_Status]]="Exited",1,0)</f>
        <v>0</v>
      </c>
      <c r="O8">
        <f>IF(Table1_1[[#This Row],[Employee_Status]]="Active",1,0)</f>
        <v>1</v>
      </c>
      <c r="P8" s="2">
        <f ca="1">IF(Table1_1[[#This Row],[Employee_Status]]="Active",YEARFRAC(Table1_1[[#This Row],[Join_Date]],TODAY()),YEARFRAC(Table1_1[[#This Row],[Join_Date]],Table1_1[[#This Row],[Exit_Date]]))</f>
        <v>9.0194444444444439</v>
      </c>
      <c r="Q8" s="3">
        <f ca="1">YEARFRAC(Table1_1[[#This Row],[Date_of_Birth]],TODAY())</f>
        <v>36.075000000000003</v>
      </c>
      <c r="R8">
        <f>YEAR(Table1_1[[#This Row],[Join_Date]])</f>
        <v>2017</v>
      </c>
      <c r="S8" t="str">
        <f>TEXT(Table1_1[[#This Row],[Join_Date]],"yyyy-mm")</f>
        <v>2017-02</v>
      </c>
      <c r="T8" t="str">
        <f>IF(Table1_1[[#This Row],[Exit_Date]]="","",YEAR(Table1_1[[#This Row],[Exit_Date]]))</f>
        <v/>
      </c>
      <c r="U8" t="str">
        <f>IF(Table1_1[[#This Row],[Exit_Date]]="","",TEXT(Table1_1[[#This Row],[Exit_Date]],"yyyy-mm"))</f>
        <v/>
      </c>
      <c r="V8">
        <f>IF(Table1_1[[#This Row],[Employment_Type]]="Contract",1,0)</f>
        <v>0</v>
      </c>
    </row>
    <row r="9" spans="1:22" x14ac:dyDescent="0.3">
      <c r="A9" t="s">
        <v>46</v>
      </c>
      <c r="B9" t="s">
        <v>47</v>
      </c>
      <c r="C9" t="s">
        <v>21</v>
      </c>
      <c r="D9" s="1">
        <v>35894</v>
      </c>
      <c r="E9" s="1">
        <v>44457</v>
      </c>
      <c r="F9" s="1"/>
      <c r="G9" t="s">
        <v>28</v>
      </c>
      <c r="H9" t="s">
        <v>16</v>
      </c>
      <c r="I9" t="s">
        <v>24</v>
      </c>
      <c r="J9" t="s">
        <v>48</v>
      </c>
      <c r="K9">
        <v>36000</v>
      </c>
      <c r="M9" t="str">
        <f>IF(Table1_1[[#This Row],[Exit_Date]]="","Active","Exited")</f>
        <v>Active</v>
      </c>
      <c r="N9">
        <f>IF(Table1_1[[#This Row],[Employee_Status]]="Exited",1,0)</f>
        <v>0</v>
      </c>
      <c r="O9">
        <f>IF(Table1_1[[#This Row],[Employee_Status]]="Active",1,0)</f>
        <v>1</v>
      </c>
      <c r="P9" s="2">
        <f ca="1">IF(Table1_1[[#This Row],[Employee_Status]]="Active",YEARFRAC(Table1_1[[#This Row],[Join_Date]],TODAY()),YEARFRAC(Table1_1[[#This Row],[Join_Date]],Table1_1[[#This Row],[Exit_Date]]))</f>
        <v>4.3888888888888893</v>
      </c>
      <c r="Q9" s="3">
        <f ca="1">YEARFRAC(Table1_1[[#This Row],[Date_of_Birth]],TODAY())</f>
        <v>27.830555555555556</v>
      </c>
      <c r="R9">
        <f>YEAR(Table1_1[[#This Row],[Join_Date]])</f>
        <v>2021</v>
      </c>
      <c r="S9" t="str">
        <f>TEXT(Table1_1[[#This Row],[Join_Date]],"yyyy-mm")</f>
        <v>2021-09</v>
      </c>
      <c r="T9" t="str">
        <f>IF(Table1_1[[#This Row],[Exit_Date]]="","",YEAR(Table1_1[[#This Row],[Exit_Date]]))</f>
        <v/>
      </c>
      <c r="U9" t="str">
        <f>IF(Table1_1[[#This Row],[Exit_Date]]="","",TEXT(Table1_1[[#This Row],[Exit_Date]],"yyyy-mm"))</f>
        <v/>
      </c>
      <c r="V9">
        <f>IF(Table1_1[[#This Row],[Employment_Type]]="Contract",1,0)</f>
        <v>1</v>
      </c>
    </row>
    <row r="10" spans="1:22" x14ac:dyDescent="0.3">
      <c r="A10" t="s">
        <v>49</v>
      </c>
      <c r="B10" t="s">
        <v>50</v>
      </c>
      <c r="C10" t="s">
        <v>14</v>
      </c>
      <c r="D10" s="1">
        <v>33447</v>
      </c>
      <c r="E10" s="1">
        <v>43169</v>
      </c>
      <c r="F10" s="1">
        <v>44352</v>
      </c>
      <c r="G10" t="s">
        <v>33</v>
      </c>
      <c r="H10" t="s">
        <v>23</v>
      </c>
      <c r="I10" t="s">
        <v>51</v>
      </c>
      <c r="J10" t="s">
        <v>18</v>
      </c>
      <c r="K10">
        <v>60000</v>
      </c>
      <c r="L10" t="s">
        <v>52</v>
      </c>
      <c r="M10" t="str">
        <f>IF(Table1_1[[#This Row],[Exit_Date]]="","Active","Exited")</f>
        <v>Exited</v>
      </c>
      <c r="N10">
        <f>IF(Table1_1[[#This Row],[Employee_Status]]="Exited",1,0)</f>
        <v>1</v>
      </c>
      <c r="O10">
        <f>IF(Table1_1[[#This Row],[Employee_Status]]="Active",1,0)</f>
        <v>0</v>
      </c>
      <c r="P10" s="2">
        <f ca="1">IF(Table1_1[[#This Row],[Employee_Status]]="Active",YEARFRAC(Table1_1[[#This Row],[Join_Date]],TODAY()),YEARFRAC(Table1_1[[#This Row],[Join_Date]],Table1_1[[#This Row],[Exit_Date]]))</f>
        <v>3.2361111111111112</v>
      </c>
      <c r="Q10" s="3">
        <f ca="1">YEARFRAC(Table1_1[[#This Row],[Date_of_Birth]],TODAY())</f>
        <v>34.527777777777779</v>
      </c>
      <c r="R10">
        <f>YEAR(Table1_1[[#This Row],[Join_Date]])</f>
        <v>2018</v>
      </c>
      <c r="S10" t="str">
        <f>TEXT(Table1_1[[#This Row],[Join_Date]],"yyyy-mm")</f>
        <v>2018-03</v>
      </c>
      <c r="T10">
        <f>IF(Table1_1[[#This Row],[Exit_Date]]="","",YEAR(Table1_1[[#This Row],[Exit_Date]]))</f>
        <v>2021</v>
      </c>
      <c r="U10" t="str">
        <f>IF(Table1_1[[#This Row],[Exit_Date]]="","",TEXT(Table1_1[[#This Row],[Exit_Date]],"yyyy-mm"))</f>
        <v>2021-06</v>
      </c>
      <c r="V10">
        <f>IF(Table1_1[[#This Row],[Employment_Type]]="Contract",1,0)</f>
        <v>0</v>
      </c>
    </row>
    <row r="11" spans="1:22" x14ac:dyDescent="0.3">
      <c r="A11" t="s">
        <v>53</v>
      </c>
      <c r="B11" t="s">
        <v>54</v>
      </c>
      <c r="C11" t="s">
        <v>21</v>
      </c>
      <c r="D11" s="1">
        <v>35413</v>
      </c>
      <c r="E11" s="1">
        <v>43855</v>
      </c>
      <c r="F11" s="1"/>
      <c r="G11" t="s">
        <v>15</v>
      </c>
      <c r="H11" t="s">
        <v>16</v>
      </c>
      <c r="I11" t="s">
        <v>30</v>
      </c>
      <c r="J11" t="s">
        <v>18</v>
      </c>
      <c r="K11">
        <v>43000</v>
      </c>
      <c r="M11" t="str">
        <f>IF(Table1_1[[#This Row],[Exit_Date]]="","Active","Exited")</f>
        <v>Active</v>
      </c>
      <c r="N11">
        <f>IF(Table1_1[[#This Row],[Employee_Status]]="Exited",1,0)</f>
        <v>0</v>
      </c>
      <c r="O11">
        <f>IF(Table1_1[[#This Row],[Employee_Status]]="Active",1,0)</f>
        <v>1</v>
      </c>
      <c r="P11" s="2">
        <f ca="1">IF(Table1_1[[#This Row],[Employee_Status]]="Active",YEARFRAC(Table1_1[[#This Row],[Join_Date]],TODAY()),YEARFRAC(Table1_1[[#This Row],[Join_Date]],Table1_1[[#This Row],[Exit_Date]]))</f>
        <v>6.0361111111111114</v>
      </c>
      <c r="Q11" s="3">
        <f ca="1">YEARFRAC(Table1_1[[#This Row],[Date_of_Birth]],TODAY())</f>
        <v>29.15</v>
      </c>
      <c r="R11">
        <f>YEAR(Table1_1[[#This Row],[Join_Date]])</f>
        <v>2020</v>
      </c>
      <c r="S11" t="str">
        <f>TEXT(Table1_1[[#This Row],[Join_Date]],"yyyy-mm")</f>
        <v>2020-01</v>
      </c>
      <c r="T11" t="str">
        <f>IF(Table1_1[[#This Row],[Exit_Date]]="","",YEAR(Table1_1[[#This Row],[Exit_Date]]))</f>
        <v/>
      </c>
      <c r="U11" t="str">
        <f>IF(Table1_1[[#This Row],[Exit_Date]]="","",TEXT(Table1_1[[#This Row],[Exit_Date]],"yyyy-mm"))</f>
        <v/>
      </c>
      <c r="V11">
        <f>IF(Table1_1[[#This Row],[Employment_Type]]="Contract",1,0)</f>
        <v>0</v>
      </c>
    </row>
    <row r="12" spans="1:22" x14ac:dyDescent="0.3">
      <c r="A12" t="s">
        <v>55</v>
      </c>
      <c r="B12" t="s">
        <v>56</v>
      </c>
      <c r="C12" t="s">
        <v>14</v>
      </c>
      <c r="D12" s="1">
        <v>34613</v>
      </c>
      <c r="E12" s="1">
        <v>43780</v>
      </c>
      <c r="F12" s="1"/>
      <c r="G12" t="s">
        <v>28</v>
      </c>
      <c r="H12" t="s">
        <v>23</v>
      </c>
      <c r="I12" t="s">
        <v>57</v>
      </c>
      <c r="J12" t="s">
        <v>18</v>
      </c>
      <c r="K12">
        <v>72000</v>
      </c>
      <c r="M12" t="str">
        <f>IF(Table1_1[[#This Row],[Exit_Date]]="","Active","Exited")</f>
        <v>Active</v>
      </c>
      <c r="N12">
        <f>IF(Table1_1[[#This Row],[Employee_Status]]="Exited",1,0)</f>
        <v>0</v>
      </c>
      <c r="O12">
        <f>IF(Table1_1[[#This Row],[Employee_Status]]="Active",1,0)</f>
        <v>1</v>
      </c>
      <c r="P12" s="2">
        <f ca="1">IF(Table1_1[[#This Row],[Employee_Status]]="Active",YEARFRAC(Table1_1[[#This Row],[Join_Date]],TODAY()),YEARFRAC(Table1_1[[#This Row],[Join_Date]],Table1_1[[#This Row],[Exit_Date]]))</f>
        <v>6.2416666666666663</v>
      </c>
      <c r="Q12" s="3">
        <f ca="1">YEARFRAC(Table1_1[[#This Row],[Date_of_Birth]],TODAY())</f>
        <v>31.338888888888889</v>
      </c>
      <c r="R12">
        <f>YEAR(Table1_1[[#This Row],[Join_Date]])</f>
        <v>2019</v>
      </c>
      <c r="S12" t="str">
        <f>TEXT(Table1_1[[#This Row],[Join_Date]],"yyyy-mm")</f>
        <v>2019-11</v>
      </c>
      <c r="T12" t="str">
        <f>IF(Table1_1[[#This Row],[Exit_Date]]="","",YEAR(Table1_1[[#This Row],[Exit_Date]]))</f>
        <v/>
      </c>
      <c r="U12" t="str">
        <f>IF(Table1_1[[#This Row],[Exit_Date]]="","",TEXT(Table1_1[[#This Row],[Exit_Date]],"yyyy-mm"))</f>
        <v/>
      </c>
      <c r="V12">
        <f>IF(Table1_1[[#This Row],[Employment_Type]]="Contract",1,0)</f>
        <v>0</v>
      </c>
    </row>
    <row r="13" spans="1:22" x14ac:dyDescent="0.3">
      <c r="A13" t="s">
        <v>58</v>
      </c>
      <c r="B13" t="s">
        <v>59</v>
      </c>
      <c r="C13" t="s">
        <v>21</v>
      </c>
      <c r="D13" s="1">
        <v>34760</v>
      </c>
      <c r="E13" s="1">
        <v>44020</v>
      </c>
      <c r="F13" s="1"/>
      <c r="G13" t="s">
        <v>22</v>
      </c>
      <c r="H13" t="s">
        <v>16</v>
      </c>
      <c r="I13" t="s">
        <v>57</v>
      </c>
      <c r="J13" t="s">
        <v>18</v>
      </c>
      <c r="K13">
        <v>40000</v>
      </c>
      <c r="M13" t="str">
        <f>IF(Table1_1[[#This Row],[Exit_Date]]="","Active","Exited")</f>
        <v>Active</v>
      </c>
      <c r="N13">
        <f>IF(Table1_1[[#This Row],[Employee_Status]]="Exited",1,0)</f>
        <v>0</v>
      </c>
      <c r="O13">
        <f>IF(Table1_1[[#This Row],[Employee_Status]]="Active",1,0)</f>
        <v>1</v>
      </c>
      <c r="P13" s="2">
        <f ca="1">IF(Table1_1[[#This Row],[Employee_Status]]="Active",YEARFRAC(Table1_1[[#This Row],[Join_Date]],TODAY()),YEARFRAC(Table1_1[[#This Row],[Join_Date]],Table1_1[[#This Row],[Exit_Date]]))</f>
        <v>5.583333333333333</v>
      </c>
      <c r="Q13" s="3">
        <f ca="1">YEARFRAC(Table1_1[[#This Row],[Date_of_Birth]],TODAY())</f>
        <v>30.933333333333334</v>
      </c>
      <c r="R13">
        <f>YEAR(Table1_1[[#This Row],[Join_Date]])</f>
        <v>2020</v>
      </c>
      <c r="S13" t="str">
        <f>TEXT(Table1_1[[#This Row],[Join_Date]],"yyyy-mm")</f>
        <v>2020-07</v>
      </c>
      <c r="T13" t="str">
        <f>IF(Table1_1[[#This Row],[Exit_Date]]="","",YEAR(Table1_1[[#This Row],[Exit_Date]]))</f>
        <v/>
      </c>
      <c r="U13" t="str">
        <f>IF(Table1_1[[#This Row],[Exit_Date]]="","",TEXT(Table1_1[[#This Row],[Exit_Date]],"yyyy-mm"))</f>
        <v/>
      </c>
      <c r="V13">
        <f>IF(Table1_1[[#This Row],[Employment_Type]]="Contract",1,0)</f>
        <v>0</v>
      </c>
    </row>
    <row r="14" spans="1:22" x14ac:dyDescent="0.3">
      <c r="A14" t="s">
        <v>60</v>
      </c>
      <c r="B14" t="s">
        <v>61</v>
      </c>
      <c r="C14" t="s">
        <v>14</v>
      </c>
      <c r="D14" s="1">
        <v>32769</v>
      </c>
      <c r="E14" s="1">
        <v>42504</v>
      </c>
      <c r="F14" s="1"/>
      <c r="G14" t="s">
        <v>43</v>
      </c>
      <c r="H14" t="s">
        <v>29</v>
      </c>
      <c r="I14" t="s">
        <v>62</v>
      </c>
      <c r="J14" t="s">
        <v>18</v>
      </c>
      <c r="K14">
        <v>98000</v>
      </c>
      <c r="M14" t="str">
        <f>IF(Table1_1[[#This Row],[Exit_Date]]="","Active","Exited")</f>
        <v>Active</v>
      </c>
      <c r="N14">
        <f>IF(Table1_1[[#This Row],[Employee_Status]]="Exited",1,0)</f>
        <v>0</v>
      </c>
      <c r="O14">
        <f>IF(Table1_1[[#This Row],[Employee_Status]]="Active",1,0)</f>
        <v>1</v>
      </c>
      <c r="P14" s="2">
        <f ca="1">IF(Table1_1[[#This Row],[Employee_Status]]="Active",YEARFRAC(Table1_1[[#This Row],[Join_Date]],TODAY()),YEARFRAC(Table1_1[[#This Row],[Join_Date]],Table1_1[[#This Row],[Exit_Date]]))</f>
        <v>9.7333333333333325</v>
      </c>
      <c r="Q14" s="3">
        <f ca="1">YEARFRAC(Table1_1[[#This Row],[Date_of_Birth]],TODAY())</f>
        <v>36.388888888888886</v>
      </c>
      <c r="R14">
        <f>YEAR(Table1_1[[#This Row],[Join_Date]])</f>
        <v>2016</v>
      </c>
      <c r="S14" t="str">
        <f>TEXT(Table1_1[[#This Row],[Join_Date]],"yyyy-mm")</f>
        <v>2016-05</v>
      </c>
      <c r="T14" t="str">
        <f>IF(Table1_1[[#This Row],[Exit_Date]]="","",YEAR(Table1_1[[#This Row],[Exit_Date]]))</f>
        <v/>
      </c>
      <c r="U14" t="str">
        <f>IF(Table1_1[[#This Row],[Exit_Date]]="","",TEXT(Table1_1[[#This Row],[Exit_Date]],"yyyy-mm"))</f>
        <v/>
      </c>
      <c r="V14">
        <f>IF(Table1_1[[#This Row],[Employment_Type]]="Contract",1,0)</f>
        <v>0</v>
      </c>
    </row>
    <row r="15" spans="1:22" x14ac:dyDescent="0.3">
      <c r="A15" t="s">
        <v>63</v>
      </c>
      <c r="B15" t="s">
        <v>64</v>
      </c>
      <c r="C15" t="s">
        <v>21</v>
      </c>
      <c r="D15" s="1">
        <v>35816</v>
      </c>
      <c r="E15" s="1">
        <v>44472</v>
      </c>
      <c r="F15" s="1"/>
      <c r="G15" t="s">
        <v>33</v>
      </c>
      <c r="H15" t="s">
        <v>16</v>
      </c>
      <c r="I15" t="s">
        <v>65</v>
      </c>
      <c r="J15" t="s">
        <v>48</v>
      </c>
      <c r="K15">
        <v>34000</v>
      </c>
      <c r="M15" t="str">
        <f>IF(Table1_1[[#This Row],[Exit_Date]]="","Active","Exited")</f>
        <v>Active</v>
      </c>
      <c r="N15">
        <f>IF(Table1_1[[#This Row],[Employee_Status]]="Exited",1,0)</f>
        <v>0</v>
      </c>
      <c r="O15">
        <f>IF(Table1_1[[#This Row],[Employee_Status]]="Active",1,0)</f>
        <v>1</v>
      </c>
      <c r="P15" s="2">
        <f ca="1">IF(Table1_1[[#This Row],[Employee_Status]]="Active",YEARFRAC(Table1_1[[#This Row],[Join_Date]],TODAY()),YEARFRAC(Table1_1[[#This Row],[Join_Date]],Table1_1[[#This Row],[Exit_Date]]))</f>
        <v>4.3472222222222223</v>
      </c>
      <c r="Q15" s="3">
        <f ca="1">YEARFRAC(Table1_1[[#This Row],[Date_of_Birth]],TODAY())</f>
        <v>28.047222222222221</v>
      </c>
      <c r="R15">
        <f>YEAR(Table1_1[[#This Row],[Join_Date]])</f>
        <v>2021</v>
      </c>
      <c r="S15" t="str">
        <f>TEXT(Table1_1[[#This Row],[Join_Date]],"yyyy-mm")</f>
        <v>2021-10</v>
      </c>
      <c r="T15" t="str">
        <f>IF(Table1_1[[#This Row],[Exit_Date]]="","",YEAR(Table1_1[[#This Row],[Exit_Date]]))</f>
        <v/>
      </c>
      <c r="U15" t="str">
        <f>IF(Table1_1[[#This Row],[Exit_Date]]="","",TEXT(Table1_1[[#This Row],[Exit_Date]],"yyyy-mm"))</f>
        <v/>
      </c>
      <c r="V15">
        <f>IF(Table1_1[[#This Row],[Employment_Type]]="Contract",1,0)</f>
        <v>1</v>
      </c>
    </row>
    <row r="16" spans="1:22" x14ac:dyDescent="0.3">
      <c r="A16" t="s">
        <v>66</v>
      </c>
      <c r="B16" t="s">
        <v>67</v>
      </c>
      <c r="C16" t="s">
        <v>14</v>
      </c>
      <c r="D16" s="1">
        <v>34150</v>
      </c>
      <c r="E16" s="1">
        <v>43811</v>
      </c>
      <c r="F16" s="1">
        <v>44795</v>
      </c>
      <c r="G16" t="s">
        <v>28</v>
      </c>
      <c r="H16" t="s">
        <v>16</v>
      </c>
      <c r="I16" t="s">
        <v>30</v>
      </c>
      <c r="J16" t="s">
        <v>18</v>
      </c>
      <c r="K16">
        <v>48000</v>
      </c>
      <c r="L16" t="s">
        <v>68</v>
      </c>
      <c r="M16" t="str">
        <f>IF(Table1_1[[#This Row],[Exit_Date]]="","Active","Exited")</f>
        <v>Exited</v>
      </c>
      <c r="N16">
        <f>IF(Table1_1[[#This Row],[Employee_Status]]="Exited",1,0)</f>
        <v>1</v>
      </c>
      <c r="O16">
        <f>IF(Table1_1[[#This Row],[Employee_Status]]="Active",1,0)</f>
        <v>0</v>
      </c>
      <c r="P16" s="2">
        <f ca="1">IF(Table1_1[[#This Row],[Employee_Status]]="Active",YEARFRAC(Table1_1[[#This Row],[Join_Date]],TODAY()),YEARFRAC(Table1_1[[#This Row],[Join_Date]],Table1_1[[#This Row],[Exit_Date]]))</f>
        <v>2.6944444444444446</v>
      </c>
      <c r="Q16" s="3">
        <f ca="1">YEARFRAC(Table1_1[[#This Row],[Date_of_Birth]],TODAY())</f>
        <v>32.605555555555554</v>
      </c>
      <c r="R16">
        <f>YEAR(Table1_1[[#This Row],[Join_Date]])</f>
        <v>2019</v>
      </c>
      <c r="S16" t="str">
        <f>TEXT(Table1_1[[#This Row],[Join_Date]],"yyyy-mm")</f>
        <v>2019-12</v>
      </c>
      <c r="T16">
        <f>IF(Table1_1[[#This Row],[Exit_Date]]="","",YEAR(Table1_1[[#This Row],[Exit_Date]]))</f>
        <v>2022</v>
      </c>
      <c r="U16" t="str">
        <f>IF(Table1_1[[#This Row],[Exit_Date]]="","",TEXT(Table1_1[[#This Row],[Exit_Date]],"yyyy-mm"))</f>
        <v>2022-08</v>
      </c>
      <c r="V16">
        <f>IF(Table1_1[[#This Row],[Employment_Type]]="Contract",1,0)</f>
        <v>0</v>
      </c>
    </row>
    <row r="17" spans="1:22" x14ac:dyDescent="0.3">
      <c r="A17" t="s">
        <v>69</v>
      </c>
      <c r="B17" t="s">
        <v>70</v>
      </c>
      <c r="C17" t="s">
        <v>21</v>
      </c>
      <c r="D17" s="1">
        <v>35466</v>
      </c>
      <c r="E17" s="1">
        <v>44246</v>
      </c>
      <c r="F17" s="1"/>
      <c r="G17" t="s">
        <v>15</v>
      </c>
      <c r="H17" t="s">
        <v>16</v>
      </c>
      <c r="I17" t="s">
        <v>71</v>
      </c>
      <c r="J17" t="s">
        <v>18</v>
      </c>
      <c r="K17">
        <v>41000</v>
      </c>
      <c r="M17" t="str">
        <f>IF(Table1_1[[#This Row],[Exit_Date]]="","Active","Exited")</f>
        <v>Active</v>
      </c>
      <c r="N17">
        <f>IF(Table1_1[[#This Row],[Employee_Status]]="Exited",1,0)</f>
        <v>0</v>
      </c>
      <c r="O17">
        <f>IF(Table1_1[[#This Row],[Employee_Status]]="Active",1,0)</f>
        <v>1</v>
      </c>
      <c r="P17" s="2">
        <f ca="1">IF(Table1_1[[#This Row],[Employee_Status]]="Active",YEARFRAC(Table1_1[[#This Row],[Join_Date]],TODAY()),YEARFRAC(Table1_1[[#This Row],[Join_Date]],Table1_1[[#This Row],[Exit_Date]]))</f>
        <v>4.9694444444444441</v>
      </c>
      <c r="Q17" s="3">
        <f ca="1">YEARFRAC(Table1_1[[#This Row],[Date_of_Birth]],TODAY())</f>
        <v>29.008333333333333</v>
      </c>
      <c r="R17">
        <f>YEAR(Table1_1[[#This Row],[Join_Date]])</f>
        <v>2021</v>
      </c>
      <c r="S17" t="str">
        <f>TEXT(Table1_1[[#This Row],[Join_Date]],"yyyy-mm")</f>
        <v>2021-02</v>
      </c>
      <c r="T17" t="str">
        <f>IF(Table1_1[[#This Row],[Exit_Date]]="","",YEAR(Table1_1[[#This Row],[Exit_Date]]))</f>
        <v/>
      </c>
      <c r="U17" t="str">
        <f>IF(Table1_1[[#This Row],[Exit_Date]]="","",TEXT(Table1_1[[#This Row],[Exit_Date]],"yyyy-mm"))</f>
        <v/>
      </c>
      <c r="V17">
        <f>IF(Table1_1[[#This Row],[Employment_Type]]="Contract",1,0)</f>
        <v>0</v>
      </c>
    </row>
    <row r="18" spans="1:22" x14ac:dyDescent="0.3">
      <c r="A18" t="s">
        <v>72</v>
      </c>
      <c r="B18" t="s">
        <v>73</v>
      </c>
      <c r="C18" t="s">
        <v>14</v>
      </c>
      <c r="D18" s="1">
        <v>32426</v>
      </c>
      <c r="E18" s="1">
        <v>42248</v>
      </c>
      <c r="F18" s="1"/>
      <c r="G18" t="s">
        <v>43</v>
      </c>
      <c r="H18" t="s">
        <v>44</v>
      </c>
      <c r="I18" t="s">
        <v>30</v>
      </c>
      <c r="J18" t="s">
        <v>18</v>
      </c>
      <c r="K18">
        <v>115000</v>
      </c>
      <c r="M18" t="str">
        <f>IF(Table1_1[[#This Row],[Exit_Date]]="","Active","Exited")</f>
        <v>Active</v>
      </c>
      <c r="N18">
        <f>IF(Table1_1[[#This Row],[Employee_Status]]="Exited",1,0)</f>
        <v>0</v>
      </c>
      <c r="O18">
        <f>IF(Table1_1[[#This Row],[Employee_Status]]="Active",1,0)</f>
        <v>1</v>
      </c>
      <c r="P18" s="2">
        <f ca="1">IF(Table1_1[[#This Row],[Employee_Status]]="Active",YEARFRAC(Table1_1[[#This Row],[Join_Date]],TODAY()),YEARFRAC(Table1_1[[#This Row],[Join_Date]],Table1_1[[#This Row],[Exit_Date]]))</f>
        <v>10.436111111111112</v>
      </c>
      <c r="Q18" s="3">
        <f ca="1">YEARFRAC(Table1_1[[#This Row],[Date_of_Birth]],TODAY())</f>
        <v>37.327777777777776</v>
      </c>
      <c r="R18">
        <f>YEAR(Table1_1[[#This Row],[Join_Date]])</f>
        <v>2015</v>
      </c>
      <c r="S18" t="str">
        <f>TEXT(Table1_1[[#This Row],[Join_Date]],"yyyy-mm")</f>
        <v>2015-09</v>
      </c>
      <c r="T18" t="str">
        <f>IF(Table1_1[[#This Row],[Exit_Date]]="","",YEAR(Table1_1[[#This Row],[Exit_Date]]))</f>
        <v/>
      </c>
      <c r="U18" t="str">
        <f>IF(Table1_1[[#This Row],[Exit_Date]]="","",TEXT(Table1_1[[#This Row],[Exit_Date]],"yyyy-mm"))</f>
        <v/>
      </c>
      <c r="V18">
        <f>IF(Table1_1[[#This Row],[Employment_Type]]="Contract",1,0)</f>
        <v>0</v>
      </c>
    </row>
    <row r="19" spans="1:22" x14ac:dyDescent="0.3">
      <c r="A19" t="s">
        <v>74</v>
      </c>
      <c r="B19" t="s">
        <v>75</v>
      </c>
      <c r="C19" t="s">
        <v>21</v>
      </c>
      <c r="D19" s="1">
        <v>35273</v>
      </c>
      <c r="E19" s="1">
        <v>43997</v>
      </c>
      <c r="F19" s="1">
        <v>45260</v>
      </c>
      <c r="G19" t="s">
        <v>22</v>
      </c>
      <c r="H19" t="s">
        <v>16</v>
      </c>
      <c r="I19" t="s">
        <v>17</v>
      </c>
      <c r="J19" t="s">
        <v>18</v>
      </c>
      <c r="K19">
        <v>46000</v>
      </c>
      <c r="L19" t="s">
        <v>76</v>
      </c>
      <c r="M19" t="str">
        <f>IF(Table1_1[[#This Row],[Exit_Date]]="","Active","Exited")</f>
        <v>Exited</v>
      </c>
      <c r="N19">
        <f>IF(Table1_1[[#This Row],[Employee_Status]]="Exited",1,0)</f>
        <v>1</v>
      </c>
      <c r="O19">
        <f>IF(Table1_1[[#This Row],[Employee_Status]]="Active",1,0)</f>
        <v>0</v>
      </c>
      <c r="P19" s="2">
        <f ca="1">IF(Table1_1[[#This Row],[Employee_Status]]="Active",YEARFRAC(Table1_1[[#This Row],[Join_Date]],TODAY()),YEARFRAC(Table1_1[[#This Row],[Join_Date]],Table1_1[[#This Row],[Exit_Date]]))</f>
        <v>3.4583333333333335</v>
      </c>
      <c r="Q19" s="3">
        <f ca="1">YEARFRAC(Table1_1[[#This Row],[Date_of_Birth]],TODAY())</f>
        <v>29.530555555555555</v>
      </c>
      <c r="R19">
        <f>YEAR(Table1_1[[#This Row],[Join_Date]])</f>
        <v>2020</v>
      </c>
      <c r="S19" t="str">
        <f>TEXT(Table1_1[[#This Row],[Join_Date]],"yyyy-mm")</f>
        <v>2020-06</v>
      </c>
      <c r="T19">
        <f>IF(Table1_1[[#This Row],[Exit_Date]]="","",YEAR(Table1_1[[#This Row],[Exit_Date]]))</f>
        <v>2023</v>
      </c>
      <c r="U19" t="str">
        <f>IF(Table1_1[[#This Row],[Exit_Date]]="","",TEXT(Table1_1[[#This Row],[Exit_Date]],"yyyy-mm"))</f>
        <v>2023-11</v>
      </c>
      <c r="V19">
        <f>IF(Table1_1[[#This Row],[Employment_Type]]="Contract",1,0)</f>
        <v>0</v>
      </c>
    </row>
    <row r="20" spans="1:22" x14ac:dyDescent="0.3">
      <c r="A20" t="s">
        <v>77</v>
      </c>
      <c r="B20" t="s">
        <v>78</v>
      </c>
      <c r="C20" t="s">
        <v>14</v>
      </c>
      <c r="D20" s="1">
        <v>33708</v>
      </c>
      <c r="E20" s="1">
        <v>43120</v>
      </c>
      <c r="F20" s="1"/>
      <c r="G20" t="s">
        <v>33</v>
      </c>
      <c r="H20" t="s">
        <v>29</v>
      </c>
      <c r="I20" t="s">
        <v>34</v>
      </c>
      <c r="J20" t="s">
        <v>18</v>
      </c>
      <c r="K20">
        <v>88000</v>
      </c>
      <c r="M20" t="str">
        <f>IF(Table1_1[[#This Row],[Exit_Date]]="","Active","Exited")</f>
        <v>Active</v>
      </c>
      <c r="N20">
        <f>IF(Table1_1[[#This Row],[Employee_Status]]="Exited",1,0)</f>
        <v>0</v>
      </c>
      <c r="O20">
        <f>IF(Table1_1[[#This Row],[Employee_Status]]="Active",1,0)</f>
        <v>1</v>
      </c>
      <c r="P20" s="2">
        <f ca="1">IF(Table1_1[[#This Row],[Employee_Status]]="Active",YEARFRAC(Table1_1[[#This Row],[Join_Date]],TODAY()),YEARFRAC(Table1_1[[#This Row],[Join_Date]],Table1_1[[#This Row],[Exit_Date]]))</f>
        <v>8.0500000000000007</v>
      </c>
      <c r="Q20" s="3">
        <f ca="1">YEARFRAC(Table1_1[[#This Row],[Date_of_Birth]],TODAY())</f>
        <v>33.81666666666667</v>
      </c>
      <c r="R20">
        <f>YEAR(Table1_1[[#This Row],[Join_Date]])</f>
        <v>2018</v>
      </c>
      <c r="S20" t="str">
        <f>TEXT(Table1_1[[#This Row],[Join_Date]],"yyyy-mm")</f>
        <v>2018-01</v>
      </c>
      <c r="T20" t="str">
        <f>IF(Table1_1[[#This Row],[Exit_Date]]="","",YEAR(Table1_1[[#This Row],[Exit_Date]]))</f>
        <v/>
      </c>
      <c r="U20" t="str">
        <f>IF(Table1_1[[#This Row],[Exit_Date]]="","",TEXT(Table1_1[[#This Row],[Exit_Date]],"yyyy-mm"))</f>
        <v/>
      </c>
      <c r="V20">
        <f>IF(Table1_1[[#This Row],[Employment_Type]]="Contract",1,0)</f>
        <v>0</v>
      </c>
    </row>
    <row r="21" spans="1:22" x14ac:dyDescent="0.3">
      <c r="A21" t="s">
        <v>79</v>
      </c>
      <c r="B21" t="s">
        <v>80</v>
      </c>
      <c r="C21" t="s">
        <v>21</v>
      </c>
      <c r="D21" s="1">
        <v>34554</v>
      </c>
      <c r="E21" s="1">
        <v>43590</v>
      </c>
      <c r="F21" s="1"/>
      <c r="G21" t="s">
        <v>28</v>
      </c>
      <c r="H21" t="s">
        <v>23</v>
      </c>
      <c r="I21" t="s">
        <v>24</v>
      </c>
      <c r="J21" t="s">
        <v>18</v>
      </c>
      <c r="K21">
        <v>68000</v>
      </c>
      <c r="M21" t="str">
        <f>IF(Table1_1[[#This Row],[Exit_Date]]="","Active","Exited")</f>
        <v>Active</v>
      </c>
      <c r="N21">
        <f>IF(Table1_1[[#This Row],[Employee_Status]]="Exited",1,0)</f>
        <v>0</v>
      </c>
      <c r="O21">
        <f>IF(Table1_1[[#This Row],[Employee_Status]]="Active",1,0)</f>
        <v>1</v>
      </c>
      <c r="P21" s="2">
        <f ca="1">IF(Table1_1[[#This Row],[Employee_Status]]="Active",YEARFRAC(Table1_1[[#This Row],[Join_Date]],TODAY()),YEARFRAC(Table1_1[[#This Row],[Join_Date]],Table1_1[[#This Row],[Exit_Date]]))</f>
        <v>6.7583333333333337</v>
      </c>
      <c r="Q21" s="3">
        <f ca="1">YEARFRAC(Table1_1[[#This Row],[Date_of_Birth]],TODAY())</f>
        <v>31.5</v>
      </c>
      <c r="R21">
        <f>YEAR(Table1_1[[#This Row],[Join_Date]])</f>
        <v>2019</v>
      </c>
      <c r="S21" t="str">
        <f>TEXT(Table1_1[[#This Row],[Join_Date]],"yyyy-mm")</f>
        <v>2019-05</v>
      </c>
      <c r="T21" t="str">
        <f>IF(Table1_1[[#This Row],[Exit_Date]]="","",YEAR(Table1_1[[#This Row],[Exit_Date]]))</f>
        <v/>
      </c>
      <c r="U21" t="str">
        <f>IF(Table1_1[[#This Row],[Exit_Date]]="","",TEXT(Table1_1[[#This Row],[Exit_Date]],"yyyy-mm"))</f>
        <v/>
      </c>
      <c r="V21">
        <f>IF(Table1_1[[#This Row],[Employment_Type]]="Contract",1,0)</f>
        <v>0</v>
      </c>
    </row>
    <row r="22" spans="1:22" x14ac:dyDescent="0.3">
      <c r="A22" t="s">
        <v>81</v>
      </c>
      <c r="B22" t="s">
        <v>82</v>
      </c>
      <c r="C22" t="s">
        <v>14</v>
      </c>
      <c r="D22" s="1">
        <v>33589</v>
      </c>
      <c r="E22" s="1">
        <v>42805</v>
      </c>
      <c r="F22" s="1">
        <v>44448</v>
      </c>
      <c r="G22" t="s">
        <v>15</v>
      </c>
      <c r="H22" t="s">
        <v>23</v>
      </c>
      <c r="I22" t="s">
        <v>57</v>
      </c>
      <c r="J22" t="s">
        <v>18</v>
      </c>
      <c r="K22">
        <v>62000</v>
      </c>
      <c r="L22" t="s">
        <v>37</v>
      </c>
      <c r="M22" t="str">
        <f>IF(Table1_1[[#This Row],[Exit_Date]]="","Active","Exited")</f>
        <v>Exited</v>
      </c>
      <c r="N22">
        <f>IF(Table1_1[[#This Row],[Employee_Status]]="Exited",1,0)</f>
        <v>1</v>
      </c>
      <c r="O22">
        <f>IF(Table1_1[[#This Row],[Employee_Status]]="Active",1,0)</f>
        <v>0</v>
      </c>
      <c r="P22" s="2">
        <f ca="1">IF(Table1_1[[#This Row],[Employee_Status]]="Active",YEARFRAC(Table1_1[[#This Row],[Join_Date]],TODAY()),YEARFRAC(Table1_1[[#This Row],[Join_Date]],Table1_1[[#This Row],[Exit_Date]]))</f>
        <v>4.4944444444444445</v>
      </c>
      <c r="Q22" s="3">
        <f ca="1">YEARFRAC(Table1_1[[#This Row],[Date_of_Birth]],TODAY())</f>
        <v>34.141666666666666</v>
      </c>
      <c r="R22">
        <f>YEAR(Table1_1[[#This Row],[Join_Date]])</f>
        <v>2017</v>
      </c>
      <c r="S22" t="str">
        <f>TEXT(Table1_1[[#This Row],[Join_Date]],"yyyy-mm")</f>
        <v>2017-03</v>
      </c>
      <c r="T22">
        <f>IF(Table1_1[[#This Row],[Exit_Date]]="","",YEAR(Table1_1[[#This Row],[Exit_Date]]))</f>
        <v>2021</v>
      </c>
      <c r="U22" t="str">
        <f>IF(Table1_1[[#This Row],[Exit_Date]]="","",TEXT(Table1_1[[#This Row],[Exit_Date]],"yyyy-mm"))</f>
        <v>2021-09</v>
      </c>
      <c r="V22">
        <f>IF(Table1_1[[#This Row],[Employment_Type]]="Contract",1,0)</f>
        <v>0</v>
      </c>
    </row>
    <row r="23" spans="1:22" x14ac:dyDescent="0.3">
      <c r="A23" t="s">
        <v>83</v>
      </c>
      <c r="B23" t="s">
        <v>84</v>
      </c>
      <c r="C23" t="s">
        <v>21</v>
      </c>
      <c r="D23" s="1">
        <v>35940</v>
      </c>
      <c r="E23" s="1">
        <v>44501</v>
      </c>
      <c r="F23" s="1"/>
      <c r="G23" t="s">
        <v>22</v>
      </c>
      <c r="H23" t="s">
        <v>16</v>
      </c>
      <c r="I23" t="s">
        <v>85</v>
      </c>
      <c r="J23" t="s">
        <v>48</v>
      </c>
      <c r="K23">
        <v>35000</v>
      </c>
      <c r="M23" t="str">
        <f>IF(Table1_1[[#This Row],[Exit_Date]]="","Active","Exited")</f>
        <v>Active</v>
      </c>
      <c r="N23">
        <f>IF(Table1_1[[#This Row],[Employee_Status]]="Exited",1,0)</f>
        <v>0</v>
      </c>
      <c r="O23">
        <f>IF(Table1_1[[#This Row],[Employee_Status]]="Active",1,0)</f>
        <v>1</v>
      </c>
      <c r="P23" s="2">
        <f ca="1">IF(Table1_1[[#This Row],[Employee_Status]]="Active",YEARFRAC(Table1_1[[#This Row],[Join_Date]],TODAY()),YEARFRAC(Table1_1[[#This Row],[Join_Date]],Table1_1[[#This Row],[Exit_Date]]))</f>
        <v>4.2694444444444448</v>
      </c>
      <c r="Q23" s="3">
        <f ca="1">YEARFRAC(Table1_1[[#This Row],[Date_of_Birth]],TODAY())</f>
        <v>27.702777777777779</v>
      </c>
      <c r="R23">
        <f>YEAR(Table1_1[[#This Row],[Join_Date]])</f>
        <v>2021</v>
      </c>
      <c r="S23" t="str">
        <f>TEXT(Table1_1[[#This Row],[Join_Date]],"yyyy-mm")</f>
        <v>2021-11</v>
      </c>
      <c r="T23" t="str">
        <f>IF(Table1_1[[#This Row],[Exit_Date]]="","",YEAR(Table1_1[[#This Row],[Exit_Date]]))</f>
        <v/>
      </c>
      <c r="U23" t="str">
        <f>IF(Table1_1[[#This Row],[Exit_Date]]="","",TEXT(Table1_1[[#This Row],[Exit_Date]],"yyyy-mm"))</f>
        <v/>
      </c>
      <c r="V23">
        <f>IF(Table1_1[[#This Row],[Employment_Type]]="Contract",1,0)</f>
        <v>1</v>
      </c>
    </row>
    <row r="24" spans="1:22" x14ac:dyDescent="0.3">
      <c r="A24" t="s">
        <v>86</v>
      </c>
      <c r="B24" t="s">
        <v>87</v>
      </c>
      <c r="C24" t="s">
        <v>14</v>
      </c>
      <c r="D24" s="1">
        <v>31839</v>
      </c>
      <c r="E24" s="1">
        <v>41869</v>
      </c>
      <c r="F24" s="1"/>
      <c r="G24" t="s">
        <v>43</v>
      </c>
      <c r="H24" t="s">
        <v>88</v>
      </c>
      <c r="I24" t="s">
        <v>17</v>
      </c>
      <c r="J24" t="s">
        <v>18</v>
      </c>
      <c r="K24">
        <v>160000</v>
      </c>
      <c r="M24" t="str">
        <f>IF(Table1_1[[#This Row],[Exit_Date]]="","Active","Exited")</f>
        <v>Active</v>
      </c>
      <c r="N24">
        <f>IF(Table1_1[[#This Row],[Employee_Status]]="Exited",1,0)</f>
        <v>0</v>
      </c>
      <c r="O24">
        <f>IF(Table1_1[[#This Row],[Employee_Status]]="Active",1,0)</f>
        <v>1</v>
      </c>
      <c r="P24" s="2">
        <f ca="1">IF(Table1_1[[#This Row],[Employee_Status]]="Active",YEARFRAC(Table1_1[[#This Row],[Join_Date]],TODAY()),YEARFRAC(Table1_1[[#This Row],[Join_Date]],Table1_1[[#This Row],[Exit_Date]]))</f>
        <v>11.472222222222221</v>
      </c>
      <c r="Q24" s="3">
        <f ca="1">YEARFRAC(Table1_1[[#This Row],[Date_of_Birth]],TODAY())</f>
        <v>38.930555555555557</v>
      </c>
      <c r="R24">
        <f>YEAR(Table1_1[[#This Row],[Join_Date]])</f>
        <v>2014</v>
      </c>
      <c r="S24" t="str">
        <f>TEXT(Table1_1[[#This Row],[Join_Date]],"yyyy-mm")</f>
        <v>2014-08</v>
      </c>
      <c r="T24" t="str">
        <f>IF(Table1_1[[#This Row],[Exit_Date]]="","",YEAR(Table1_1[[#This Row],[Exit_Date]]))</f>
        <v/>
      </c>
      <c r="U24" t="str">
        <f>IF(Table1_1[[#This Row],[Exit_Date]]="","",TEXT(Table1_1[[#This Row],[Exit_Date]],"yyyy-mm"))</f>
        <v/>
      </c>
      <c r="V24">
        <f>IF(Table1_1[[#This Row],[Employment_Type]]="Contract",1,0)</f>
        <v>0</v>
      </c>
    </row>
    <row r="25" spans="1:22" x14ac:dyDescent="0.3">
      <c r="A25" t="s">
        <v>89</v>
      </c>
      <c r="B25" t="s">
        <v>90</v>
      </c>
      <c r="C25" t="s">
        <v>21</v>
      </c>
      <c r="D25" s="1">
        <v>34862</v>
      </c>
      <c r="E25" s="1">
        <v>43837</v>
      </c>
      <c r="F25" s="1"/>
      <c r="G25" t="s">
        <v>33</v>
      </c>
      <c r="H25" t="s">
        <v>16</v>
      </c>
      <c r="I25" t="s">
        <v>91</v>
      </c>
      <c r="J25" t="s">
        <v>18</v>
      </c>
      <c r="K25">
        <v>42000</v>
      </c>
      <c r="M25" t="str">
        <f>IF(Table1_1[[#This Row],[Exit_Date]]="","Active","Exited")</f>
        <v>Active</v>
      </c>
      <c r="N25">
        <f>IF(Table1_1[[#This Row],[Employee_Status]]="Exited",1,0)</f>
        <v>0</v>
      </c>
      <c r="O25">
        <f>IF(Table1_1[[#This Row],[Employee_Status]]="Active",1,0)</f>
        <v>1</v>
      </c>
      <c r="P25" s="2">
        <f ca="1">IF(Table1_1[[#This Row],[Employee_Status]]="Active",YEARFRAC(Table1_1[[#This Row],[Join_Date]],TODAY()),YEARFRAC(Table1_1[[#This Row],[Join_Date]],Table1_1[[#This Row],[Exit_Date]]))</f>
        <v>6.0861111111111112</v>
      </c>
      <c r="Q25" s="3">
        <f ca="1">YEARFRAC(Table1_1[[#This Row],[Date_of_Birth]],TODAY())</f>
        <v>30.655555555555555</v>
      </c>
      <c r="R25">
        <f>YEAR(Table1_1[[#This Row],[Join_Date]])</f>
        <v>2020</v>
      </c>
      <c r="S25" t="str">
        <f>TEXT(Table1_1[[#This Row],[Join_Date]],"yyyy-mm")</f>
        <v>2020-01</v>
      </c>
      <c r="T25" t="str">
        <f>IF(Table1_1[[#This Row],[Exit_Date]]="","",YEAR(Table1_1[[#This Row],[Exit_Date]]))</f>
        <v/>
      </c>
      <c r="U25" t="str">
        <f>IF(Table1_1[[#This Row],[Exit_Date]]="","",TEXT(Table1_1[[#This Row],[Exit_Date]],"yyyy-mm"))</f>
        <v/>
      </c>
      <c r="V25">
        <f>IF(Table1_1[[#This Row],[Employment_Type]]="Contract",1,0)</f>
        <v>0</v>
      </c>
    </row>
    <row r="26" spans="1:22" x14ac:dyDescent="0.3">
      <c r="A26" t="s">
        <v>92</v>
      </c>
      <c r="B26" t="s">
        <v>93</v>
      </c>
      <c r="C26" t="s">
        <v>14</v>
      </c>
      <c r="D26" s="1">
        <v>34241</v>
      </c>
      <c r="E26" s="1">
        <v>43569</v>
      </c>
      <c r="F26" s="1"/>
      <c r="G26" t="s">
        <v>28</v>
      </c>
      <c r="H26" t="s">
        <v>29</v>
      </c>
      <c r="I26" t="s">
        <v>62</v>
      </c>
      <c r="J26" t="s">
        <v>18</v>
      </c>
      <c r="K26">
        <v>92000</v>
      </c>
      <c r="M26" t="str">
        <f>IF(Table1_1[[#This Row],[Exit_Date]]="","Active","Exited")</f>
        <v>Active</v>
      </c>
      <c r="N26">
        <f>IF(Table1_1[[#This Row],[Employee_Status]]="Exited",1,0)</f>
        <v>0</v>
      </c>
      <c r="O26">
        <f>IF(Table1_1[[#This Row],[Employee_Status]]="Active",1,0)</f>
        <v>1</v>
      </c>
      <c r="P26" s="2">
        <f ca="1">IF(Table1_1[[#This Row],[Employee_Status]]="Active",YEARFRAC(Table1_1[[#This Row],[Join_Date]],TODAY()),YEARFRAC(Table1_1[[#This Row],[Join_Date]],Table1_1[[#This Row],[Exit_Date]]))</f>
        <v>6.8166666666666664</v>
      </c>
      <c r="Q26" s="3">
        <f ca="1">YEARFRAC(Table1_1[[#This Row],[Date_of_Birth]],TODAY())</f>
        <v>32.358333333333334</v>
      </c>
      <c r="R26">
        <f>YEAR(Table1_1[[#This Row],[Join_Date]])</f>
        <v>2019</v>
      </c>
      <c r="S26" t="str">
        <f>TEXT(Table1_1[[#This Row],[Join_Date]],"yyyy-mm")</f>
        <v>2019-04</v>
      </c>
      <c r="T26" t="str">
        <f>IF(Table1_1[[#This Row],[Exit_Date]]="","",YEAR(Table1_1[[#This Row],[Exit_Date]]))</f>
        <v/>
      </c>
      <c r="U26" t="str">
        <f>IF(Table1_1[[#This Row],[Exit_Date]]="","",TEXT(Table1_1[[#This Row],[Exit_Date]],"yyyy-mm"))</f>
        <v/>
      </c>
      <c r="V26">
        <f>IF(Table1_1[[#This Row],[Employment_Type]]="Contract",1,0)</f>
        <v>0</v>
      </c>
    </row>
    <row r="27" spans="1:22" x14ac:dyDescent="0.3">
      <c r="A27" t="s">
        <v>94</v>
      </c>
      <c r="B27" t="s">
        <v>95</v>
      </c>
      <c r="C27" t="s">
        <v>21</v>
      </c>
      <c r="D27" s="1">
        <v>35065</v>
      </c>
      <c r="E27" s="1">
        <v>44004</v>
      </c>
      <c r="F27" s="1">
        <v>45308</v>
      </c>
      <c r="G27" t="s">
        <v>15</v>
      </c>
      <c r="H27" t="s">
        <v>16</v>
      </c>
      <c r="I27" t="s">
        <v>96</v>
      </c>
      <c r="J27" t="s">
        <v>18</v>
      </c>
      <c r="K27">
        <v>39000</v>
      </c>
      <c r="L27" t="s">
        <v>97</v>
      </c>
      <c r="M27" t="str">
        <f>IF(Table1_1[[#This Row],[Exit_Date]]="","Active","Exited")</f>
        <v>Exited</v>
      </c>
      <c r="N27">
        <f>IF(Table1_1[[#This Row],[Employee_Status]]="Exited",1,0)</f>
        <v>1</v>
      </c>
      <c r="O27">
        <f>IF(Table1_1[[#This Row],[Employee_Status]]="Active",1,0)</f>
        <v>0</v>
      </c>
      <c r="P27" s="2">
        <f ca="1">IF(Table1_1[[#This Row],[Employee_Status]]="Active",YEARFRAC(Table1_1[[#This Row],[Join_Date]],TODAY()),YEARFRAC(Table1_1[[#This Row],[Join_Date]],Table1_1[[#This Row],[Exit_Date]]))</f>
        <v>3.5694444444444446</v>
      </c>
      <c r="Q27" s="3">
        <f ca="1">YEARFRAC(Table1_1[[#This Row],[Date_of_Birth]],TODAY())</f>
        <v>30.102777777777778</v>
      </c>
      <c r="R27">
        <f>YEAR(Table1_1[[#This Row],[Join_Date]])</f>
        <v>2020</v>
      </c>
      <c r="S27" t="str">
        <f>TEXT(Table1_1[[#This Row],[Join_Date]],"yyyy-mm")</f>
        <v>2020-06</v>
      </c>
      <c r="T27">
        <f>IF(Table1_1[[#This Row],[Exit_Date]]="","",YEAR(Table1_1[[#This Row],[Exit_Date]]))</f>
        <v>2024</v>
      </c>
      <c r="U27" t="str">
        <f>IF(Table1_1[[#This Row],[Exit_Date]]="","",TEXT(Table1_1[[#This Row],[Exit_Date]],"yyyy-mm"))</f>
        <v>2024-01</v>
      </c>
      <c r="V27">
        <f>IF(Table1_1[[#This Row],[Employment_Type]]="Contract",1,0)</f>
        <v>0</v>
      </c>
    </row>
    <row r="28" spans="1:22" x14ac:dyDescent="0.3">
      <c r="A28" t="s">
        <v>98</v>
      </c>
      <c r="B28" t="s">
        <v>99</v>
      </c>
      <c r="C28" t="s">
        <v>14</v>
      </c>
      <c r="D28" s="1">
        <v>33193</v>
      </c>
      <c r="E28" s="1">
        <v>42405</v>
      </c>
      <c r="F28" s="1"/>
      <c r="G28" t="s">
        <v>43</v>
      </c>
      <c r="H28" t="s">
        <v>29</v>
      </c>
      <c r="I28" t="s">
        <v>91</v>
      </c>
      <c r="J28" t="s">
        <v>18</v>
      </c>
      <c r="K28">
        <v>87000</v>
      </c>
      <c r="M28" t="str">
        <f>IF(Table1_1[[#This Row],[Exit_Date]]="","Active","Exited")</f>
        <v>Active</v>
      </c>
      <c r="N28">
        <f>IF(Table1_1[[#This Row],[Employee_Status]]="Exited",1,0)</f>
        <v>0</v>
      </c>
      <c r="O28">
        <f>IF(Table1_1[[#This Row],[Employee_Status]]="Active",1,0)</f>
        <v>1</v>
      </c>
      <c r="P28" s="2">
        <f ca="1">IF(Table1_1[[#This Row],[Employee_Status]]="Active",YEARFRAC(Table1_1[[#This Row],[Join_Date]],TODAY()),YEARFRAC(Table1_1[[#This Row],[Join_Date]],Table1_1[[#This Row],[Exit_Date]]))</f>
        <v>10.008333333333333</v>
      </c>
      <c r="Q28" s="3">
        <f ca="1">YEARFRAC(Table1_1[[#This Row],[Date_of_Birth]],TODAY())</f>
        <v>35.227777777777774</v>
      </c>
      <c r="R28">
        <f>YEAR(Table1_1[[#This Row],[Join_Date]])</f>
        <v>2016</v>
      </c>
      <c r="S28" t="str">
        <f>TEXT(Table1_1[[#This Row],[Join_Date]],"yyyy-mm")</f>
        <v>2016-02</v>
      </c>
      <c r="T28" t="str">
        <f>IF(Table1_1[[#This Row],[Exit_Date]]="","",YEAR(Table1_1[[#This Row],[Exit_Date]]))</f>
        <v/>
      </c>
      <c r="U28" t="str">
        <f>IF(Table1_1[[#This Row],[Exit_Date]]="","",TEXT(Table1_1[[#This Row],[Exit_Date]],"yyyy-mm"))</f>
        <v/>
      </c>
      <c r="V28">
        <f>IF(Table1_1[[#This Row],[Employment_Type]]="Contract",1,0)</f>
        <v>0</v>
      </c>
    </row>
    <row r="29" spans="1:22" x14ac:dyDescent="0.3">
      <c r="A29" t="s">
        <v>100</v>
      </c>
      <c r="B29" t="s">
        <v>101</v>
      </c>
      <c r="C29" t="s">
        <v>21</v>
      </c>
      <c r="D29" s="1">
        <v>35481</v>
      </c>
      <c r="E29" s="1">
        <v>44438</v>
      </c>
      <c r="F29" s="1"/>
      <c r="G29" t="s">
        <v>22</v>
      </c>
      <c r="H29" t="s">
        <v>23</v>
      </c>
      <c r="I29" t="s">
        <v>51</v>
      </c>
      <c r="J29" t="s">
        <v>18</v>
      </c>
      <c r="K29">
        <v>52000</v>
      </c>
      <c r="M29" t="str">
        <f>IF(Table1_1[[#This Row],[Exit_Date]]="","Active","Exited")</f>
        <v>Active</v>
      </c>
      <c r="N29">
        <f>IF(Table1_1[[#This Row],[Employee_Status]]="Exited",1,0)</f>
        <v>0</v>
      </c>
      <c r="O29">
        <f>IF(Table1_1[[#This Row],[Employee_Status]]="Active",1,0)</f>
        <v>1</v>
      </c>
      <c r="P29" s="2">
        <f ca="1">IF(Table1_1[[#This Row],[Employee_Status]]="Active",YEARFRAC(Table1_1[[#This Row],[Join_Date]],TODAY()),YEARFRAC(Table1_1[[#This Row],[Join_Date]],Table1_1[[#This Row],[Exit_Date]]))</f>
        <v>4.4388888888888891</v>
      </c>
      <c r="Q29" s="3">
        <f ca="1">YEARFRAC(Table1_1[[#This Row],[Date_of_Birth]],TODAY())</f>
        <v>28.966666666666665</v>
      </c>
      <c r="R29">
        <f>YEAR(Table1_1[[#This Row],[Join_Date]])</f>
        <v>2021</v>
      </c>
      <c r="S29" t="str">
        <f>TEXT(Table1_1[[#This Row],[Join_Date]],"yyyy-mm")</f>
        <v>2021-08</v>
      </c>
      <c r="T29" t="str">
        <f>IF(Table1_1[[#This Row],[Exit_Date]]="","",YEAR(Table1_1[[#This Row],[Exit_Date]]))</f>
        <v/>
      </c>
      <c r="U29" t="str">
        <f>IF(Table1_1[[#This Row],[Exit_Date]]="","",TEXT(Table1_1[[#This Row],[Exit_Date]],"yyyy-mm"))</f>
        <v/>
      </c>
      <c r="V29">
        <f>IF(Table1_1[[#This Row],[Employment_Type]]="Contract",1,0)</f>
        <v>0</v>
      </c>
    </row>
    <row r="30" spans="1:22" x14ac:dyDescent="0.3">
      <c r="A30" t="s">
        <v>102</v>
      </c>
      <c r="B30" t="s">
        <v>103</v>
      </c>
      <c r="C30" t="s">
        <v>14</v>
      </c>
      <c r="D30" s="1">
        <v>32331</v>
      </c>
      <c r="E30" s="1">
        <v>42256</v>
      </c>
      <c r="F30" s="1"/>
      <c r="G30" t="s">
        <v>33</v>
      </c>
      <c r="H30" t="s">
        <v>44</v>
      </c>
      <c r="I30" t="s">
        <v>24</v>
      </c>
      <c r="J30" t="s">
        <v>18</v>
      </c>
      <c r="K30">
        <v>125000</v>
      </c>
      <c r="M30" t="str">
        <f>IF(Table1_1[[#This Row],[Exit_Date]]="","Active","Exited")</f>
        <v>Active</v>
      </c>
      <c r="N30">
        <f>IF(Table1_1[[#This Row],[Employee_Status]]="Exited",1,0)</f>
        <v>0</v>
      </c>
      <c r="O30">
        <f>IF(Table1_1[[#This Row],[Employee_Status]]="Active",1,0)</f>
        <v>1</v>
      </c>
      <c r="P30" s="2">
        <f ca="1">IF(Table1_1[[#This Row],[Employee_Status]]="Active",YEARFRAC(Table1_1[[#This Row],[Join_Date]],TODAY()),YEARFRAC(Table1_1[[#This Row],[Join_Date]],Table1_1[[#This Row],[Exit_Date]]))</f>
        <v>10.41388888888889</v>
      </c>
      <c r="Q30" s="3">
        <f ca="1">YEARFRAC(Table1_1[[#This Row],[Date_of_Birth]],TODAY())</f>
        <v>37.586111111111109</v>
      </c>
      <c r="R30">
        <f>YEAR(Table1_1[[#This Row],[Join_Date]])</f>
        <v>2015</v>
      </c>
      <c r="S30" t="str">
        <f>TEXT(Table1_1[[#This Row],[Join_Date]],"yyyy-mm")</f>
        <v>2015-09</v>
      </c>
      <c r="T30" t="str">
        <f>IF(Table1_1[[#This Row],[Exit_Date]]="","",YEAR(Table1_1[[#This Row],[Exit_Date]]))</f>
        <v/>
      </c>
      <c r="U30" t="str">
        <f>IF(Table1_1[[#This Row],[Exit_Date]]="","",TEXT(Table1_1[[#This Row],[Exit_Date]],"yyyy-mm"))</f>
        <v/>
      </c>
      <c r="V30">
        <f>IF(Table1_1[[#This Row],[Employment_Type]]="Contract",1,0)</f>
        <v>0</v>
      </c>
    </row>
    <row r="31" spans="1:22" x14ac:dyDescent="0.3">
      <c r="A31" t="s">
        <v>104</v>
      </c>
      <c r="B31" t="s">
        <v>105</v>
      </c>
      <c r="C31" t="s">
        <v>21</v>
      </c>
      <c r="D31" s="1">
        <v>36230</v>
      </c>
      <c r="E31" s="1">
        <v>44563</v>
      </c>
      <c r="F31" s="1"/>
      <c r="G31" t="s">
        <v>28</v>
      </c>
      <c r="H31" t="s">
        <v>16</v>
      </c>
      <c r="I31" t="s">
        <v>30</v>
      </c>
      <c r="J31" t="s">
        <v>48</v>
      </c>
      <c r="K31">
        <v>32000</v>
      </c>
      <c r="M31" t="str">
        <f>IF(Table1_1[[#This Row],[Exit_Date]]="","Active","Exited")</f>
        <v>Active</v>
      </c>
      <c r="N31">
        <f>IF(Table1_1[[#This Row],[Employee_Status]]="Exited",1,0)</f>
        <v>0</v>
      </c>
      <c r="O31">
        <f>IF(Table1_1[[#This Row],[Employee_Status]]="Active",1,0)</f>
        <v>1</v>
      </c>
      <c r="P31" s="2">
        <f ca="1">IF(Table1_1[[#This Row],[Employee_Status]]="Active",YEARFRAC(Table1_1[[#This Row],[Join_Date]],TODAY()),YEARFRAC(Table1_1[[#This Row],[Join_Date]],Table1_1[[#This Row],[Exit_Date]]))</f>
        <v>4.0999999999999996</v>
      </c>
      <c r="Q31" s="3">
        <f ca="1">YEARFRAC(Table1_1[[#This Row],[Date_of_Birth]],TODAY())</f>
        <v>26.908333333333335</v>
      </c>
      <c r="R31">
        <f>YEAR(Table1_1[[#This Row],[Join_Date]])</f>
        <v>2022</v>
      </c>
      <c r="S31" t="str">
        <f>TEXT(Table1_1[[#This Row],[Join_Date]],"yyyy-mm")</f>
        <v>2022-01</v>
      </c>
      <c r="T31" t="str">
        <f>IF(Table1_1[[#This Row],[Exit_Date]]="","",YEAR(Table1_1[[#This Row],[Exit_Date]]))</f>
        <v/>
      </c>
      <c r="U31" t="str">
        <f>IF(Table1_1[[#This Row],[Exit_Date]]="","",TEXT(Table1_1[[#This Row],[Exit_Date]],"yyyy-mm"))</f>
        <v/>
      </c>
      <c r="V31">
        <f>IF(Table1_1[[#This Row],[Employment_Type]]="Contract",1,0)</f>
        <v>1</v>
      </c>
    </row>
    <row r="32" spans="1:22" x14ac:dyDescent="0.3">
      <c r="A32" t="s">
        <v>106</v>
      </c>
      <c r="B32" t="s">
        <v>107</v>
      </c>
      <c r="C32" t="s">
        <v>14</v>
      </c>
      <c r="D32" s="1">
        <v>34478</v>
      </c>
      <c r="E32" s="1">
        <v>43634</v>
      </c>
      <c r="F32" s="1"/>
      <c r="G32" t="s">
        <v>43</v>
      </c>
      <c r="H32" t="s">
        <v>16</v>
      </c>
      <c r="I32" t="s">
        <v>108</v>
      </c>
      <c r="J32" t="s">
        <v>18</v>
      </c>
      <c r="K32">
        <v>45000</v>
      </c>
      <c r="M32" t="str">
        <f>IF(Table1_1[[#This Row],[Exit_Date]]="","Active","Exited")</f>
        <v>Active</v>
      </c>
      <c r="N32">
        <f>IF(Table1_1[[#This Row],[Employee_Status]]="Exited",1,0)</f>
        <v>0</v>
      </c>
      <c r="O32">
        <f>IF(Table1_1[[#This Row],[Employee_Status]]="Active",1,0)</f>
        <v>1</v>
      </c>
      <c r="P32" s="2">
        <f ca="1">IF(Table1_1[[#This Row],[Employee_Status]]="Active",YEARFRAC(Table1_1[[#This Row],[Join_Date]],TODAY()),YEARFRAC(Table1_1[[#This Row],[Join_Date]],Table1_1[[#This Row],[Exit_Date]]))</f>
        <v>6.6388888888888893</v>
      </c>
      <c r="Q32" s="3">
        <f ca="1">YEARFRAC(Table1_1[[#This Row],[Date_of_Birth]],TODAY())</f>
        <v>31.705555555555556</v>
      </c>
      <c r="R32">
        <f>YEAR(Table1_1[[#This Row],[Join_Date]])</f>
        <v>2019</v>
      </c>
      <c r="S32" t="str">
        <f>TEXT(Table1_1[[#This Row],[Join_Date]],"yyyy-mm")</f>
        <v>2019-06</v>
      </c>
      <c r="T32" t="str">
        <f>IF(Table1_1[[#This Row],[Exit_Date]]="","",YEAR(Table1_1[[#This Row],[Exit_Date]]))</f>
        <v/>
      </c>
      <c r="U32" t="str">
        <f>IF(Table1_1[[#This Row],[Exit_Date]]="","",TEXT(Table1_1[[#This Row],[Exit_Date]],"yyyy-mm"))</f>
        <v/>
      </c>
      <c r="V32">
        <f>IF(Table1_1[[#This Row],[Employment_Type]]="Contract",1,0)</f>
        <v>0</v>
      </c>
    </row>
    <row r="33" spans="1:22" x14ac:dyDescent="0.3">
      <c r="A33" t="s">
        <v>109</v>
      </c>
      <c r="B33" t="s">
        <v>110</v>
      </c>
      <c r="C33" t="s">
        <v>21</v>
      </c>
      <c r="D33" s="1">
        <v>33856</v>
      </c>
      <c r="E33" s="1">
        <v>43435</v>
      </c>
      <c r="F33" s="1">
        <v>44985</v>
      </c>
      <c r="G33" t="s">
        <v>33</v>
      </c>
      <c r="H33" t="s">
        <v>23</v>
      </c>
      <c r="I33" t="s">
        <v>30</v>
      </c>
      <c r="J33" t="s">
        <v>18</v>
      </c>
      <c r="K33">
        <v>64000</v>
      </c>
      <c r="L33" t="s">
        <v>111</v>
      </c>
      <c r="M33" t="str">
        <f>IF(Table1_1[[#This Row],[Exit_Date]]="","Active","Exited")</f>
        <v>Exited</v>
      </c>
      <c r="N33">
        <f>IF(Table1_1[[#This Row],[Employee_Status]]="Exited",1,0)</f>
        <v>1</v>
      </c>
      <c r="O33">
        <f>IF(Table1_1[[#This Row],[Employee_Status]]="Active",1,0)</f>
        <v>0</v>
      </c>
      <c r="P33" s="2">
        <f ca="1">IF(Table1_1[[#This Row],[Employee_Status]]="Active",YEARFRAC(Table1_1[[#This Row],[Join_Date]],TODAY()),YEARFRAC(Table1_1[[#This Row],[Join_Date]],Table1_1[[#This Row],[Exit_Date]]))</f>
        <v>4.2416666666666663</v>
      </c>
      <c r="Q33" s="3">
        <f ca="1">YEARFRAC(Table1_1[[#This Row],[Date_of_Birth]],TODAY())</f>
        <v>33.413888888888891</v>
      </c>
      <c r="R33">
        <f>YEAR(Table1_1[[#This Row],[Join_Date]])</f>
        <v>2018</v>
      </c>
      <c r="S33" t="str">
        <f>TEXT(Table1_1[[#This Row],[Join_Date]],"yyyy-mm")</f>
        <v>2018-12</v>
      </c>
      <c r="T33">
        <f>IF(Table1_1[[#This Row],[Exit_Date]]="","",YEAR(Table1_1[[#This Row],[Exit_Date]]))</f>
        <v>2023</v>
      </c>
      <c r="U33" t="str">
        <f>IF(Table1_1[[#This Row],[Exit_Date]]="","",TEXT(Table1_1[[#This Row],[Exit_Date]],"yyyy-mm"))</f>
        <v>2023-02</v>
      </c>
      <c r="V33">
        <f>IF(Table1_1[[#This Row],[Employment_Type]]="Contract",1,0)</f>
        <v>0</v>
      </c>
    </row>
    <row r="34" spans="1:22" x14ac:dyDescent="0.3">
      <c r="A34" t="s">
        <v>112</v>
      </c>
      <c r="B34" t="s">
        <v>113</v>
      </c>
      <c r="C34" t="s">
        <v>14</v>
      </c>
      <c r="D34" s="1">
        <v>31427</v>
      </c>
      <c r="E34" s="1">
        <v>41192</v>
      </c>
      <c r="F34" s="1"/>
      <c r="G34" t="s">
        <v>28</v>
      </c>
      <c r="H34" t="s">
        <v>88</v>
      </c>
      <c r="I34" t="s">
        <v>24</v>
      </c>
      <c r="J34" t="s">
        <v>18</v>
      </c>
      <c r="K34">
        <v>180000</v>
      </c>
      <c r="M34" t="str">
        <f>IF(Table1_1[[#This Row],[Exit_Date]]="","Active","Exited")</f>
        <v>Active</v>
      </c>
      <c r="N34">
        <f>IF(Table1_1[[#This Row],[Employee_Status]]="Exited",1,0)</f>
        <v>0</v>
      </c>
      <c r="O34">
        <f>IF(Table1_1[[#This Row],[Employee_Status]]="Active",1,0)</f>
        <v>1</v>
      </c>
      <c r="P34" s="2">
        <f ca="1">IF(Table1_1[[#This Row],[Employee_Status]]="Active",YEARFRAC(Table1_1[[#This Row],[Join_Date]],TODAY()),YEARFRAC(Table1_1[[#This Row],[Join_Date]],Table1_1[[#This Row],[Exit_Date]]))</f>
        <v>13.327777777777778</v>
      </c>
      <c r="Q34" s="3">
        <f ca="1">YEARFRAC(Table1_1[[#This Row],[Date_of_Birth]],TODAY())</f>
        <v>40.06388888888889</v>
      </c>
      <c r="R34">
        <f>YEAR(Table1_1[[#This Row],[Join_Date]])</f>
        <v>2012</v>
      </c>
      <c r="S34" t="str">
        <f>TEXT(Table1_1[[#This Row],[Join_Date]],"yyyy-mm")</f>
        <v>2012-10</v>
      </c>
      <c r="T34" t="str">
        <f>IF(Table1_1[[#This Row],[Exit_Date]]="","",YEAR(Table1_1[[#This Row],[Exit_Date]]))</f>
        <v/>
      </c>
      <c r="U34" t="str">
        <f>IF(Table1_1[[#This Row],[Exit_Date]]="","",TEXT(Table1_1[[#This Row],[Exit_Date]],"yyyy-mm"))</f>
        <v/>
      </c>
      <c r="V34">
        <f>IF(Table1_1[[#This Row],[Employment_Type]]="Contract",1,0)</f>
        <v>0</v>
      </c>
    </row>
    <row r="35" spans="1:22" x14ac:dyDescent="0.3">
      <c r="A35" t="s">
        <v>114</v>
      </c>
      <c r="B35" t="s">
        <v>115</v>
      </c>
      <c r="C35" t="s">
        <v>21</v>
      </c>
      <c r="D35" s="1">
        <v>35160</v>
      </c>
      <c r="E35" s="1">
        <v>44029</v>
      </c>
      <c r="F35" s="1"/>
      <c r="G35" t="s">
        <v>15</v>
      </c>
      <c r="H35" t="s">
        <v>16</v>
      </c>
      <c r="I35" t="s">
        <v>34</v>
      </c>
      <c r="J35" t="s">
        <v>18</v>
      </c>
      <c r="K35">
        <v>41000</v>
      </c>
      <c r="M35" t="str">
        <f>IF(Table1_1[[#This Row],[Exit_Date]]="","Active","Exited")</f>
        <v>Active</v>
      </c>
      <c r="N35">
        <f>IF(Table1_1[[#This Row],[Employee_Status]]="Exited",1,0)</f>
        <v>0</v>
      </c>
      <c r="O35">
        <f>IF(Table1_1[[#This Row],[Employee_Status]]="Active",1,0)</f>
        <v>1</v>
      </c>
      <c r="P35" s="2">
        <f ca="1">IF(Table1_1[[#This Row],[Employee_Status]]="Active",YEARFRAC(Table1_1[[#This Row],[Join_Date]],TODAY()),YEARFRAC(Table1_1[[#This Row],[Join_Date]],Table1_1[[#This Row],[Exit_Date]]))</f>
        <v>5.5583333333333336</v>
      </c>
      <c r="Q35" s="3">
        <f ca="1">YEARFRAC(Table1_1[[#This Row],[Date_of_Birth]],TODAY())</f>
        <v>29.841666666666665</v>
      </c>
      <c r="R35">
        <f>YEAR(Table1_1[[#This Row],[Join_Date]])</f>
        <v>2020</v>
      </c>
      <c r="S35" t="str">
        <f>TEXT(Table1_1[[#This Row],[Join_Date]],"yyyy-mm")</f>
        <v>2020-07</v>
      </c>
      <c r="T35" t="str">
        <f>IF(Table1_1[[#This Row],[Exit_Date]]="","",YEAR(Table1_1[[#This Row],[Exit_Date]]))</f>
        <v/>
      </c>
      <c r="U35" t="str">
        <f>IF(Table1_1[[#This Row],[Exit_Date]]="","",TEXT(Table1_1[[#This Row],[Exit_Date]],"yyyy-mm"))</f>
        <v/>
      </c>
      <c r="V35">
        <f>IF(Table1_1[[#This Row],[Employment_Type]]="Contract",1,0)</f>
        <v>0</v>
      </c>
    </row>
    <row r="36" spans="1:22" x14ac:dyDescent="0.3">
      <c r="A36" t="s">
        <v>116</v>
      </c>
      <c r="B36" t="s">
        <v>117</v>
      </c>
      <c r="C36" t="s">
        <v>14</v>
      </c>
      <c r="D36" s="1">
        <v>33478</v>
      </c>
      <c r="E36" s="1">
        <v>42816</v>
      </c>
      <c r="F36" s="1"/>
      <c r="G36" t="s">
        <v>43</v>
      </c>
      <c r="H36" t="s">
        <v>23</v>
      </c>
      <c r="I36" t="s">
        <v>30</v>
      </c>
      <c r="J36" t="s">
        <v>18</v>
      </c>
      <c r="K36">
        <v>69000</v>
      </c>
      <c r="M36" t="str">
        <f>IF(Table1_1[[#This Row],[Exit_Date]]="","Active","Exited")</f>
        <v>Active</v>
      </c>
      <c r="N36">
        <f>IF(Table1_1[[#This Row],[Employee_Status]]="Exited",1,0)</f>
        <v>0</v>
      </c>
      <c r="O36">
        <f>IF(Table1_1[[#This Row],[Employee_Status]]="Active",1,0)</f>
        <v>1</v>
      </c>
      <c r="P36" s="2">
        <f ca="1">IF(Table1_1[[#This Row],[Employee_Status]]="Active",YEARFRAC(Table1_1[[#This Row],[Join_Date]],TODAY()),YEARFRAC(Table1_1[[#This Row],[Join_Date]],Table1_1[[#This Row],[Exit_Date]]))</f>
        <v>8.8777777777777782</v>
      </c>
      <c r="Q36" s="3">
        <f ca="1">YEARFRAC(Table1_1[[#This Row],[Date_of_Birth]],TODAY())</f>
        <v>34.444444444444443</v>
      </c>
      <c r="R36">
        <f>YEAR(Table1_1[[#This Row],[Join_Date]])</f>
        <v>2017</v>
      </c>
      <c r="S36" t="str">
        <f>TEXT(Table1_1[[#This Row],[Join_Date]],"yyyy-mm")</f>
        <v>2017-03</v>
      </c>
      <c r="T36" t="str">
        <f>IF(Table1_1[[#This Row],[Exit_Date]]="","",YEAR(Table1_1[[#This Row],[Exit_Date]]))</f>
        <v/>
      </c>
      <c r="U36" t="str">
        <f>IF(Table1_1[[#This Row],[Exit_Date]]="","",TEXT(Table1_1[[#This Row],[Exit_Date]],"yyyy-mm"))</f>
        <v/>
      </c>
      <c r="V36">
        <f>IF(Table1_1[[#This Row],[Employment_Type]]="Contract",1,0)</f>
        <v>0</v>
      </c>
    </row>
    <row r="37" spans="1:22" x14ac:dyDescent="0.3">
      <c r="A37" t="s">
        <v>118</v>
      </c>
      <c r="B37" t="s">
        <v>119</v>
      </c>
      <c r="C37" t="s">
        <v>21</v>
      </c>
      <c r="D37" s="1">
        <v>35046</v>
      </c>
      <c r="E37" s="1">
        <v>44083</v>
      </c>
      <c r="F37" s="1"/>
      <c r="G37" t="s">
        <v>22</v>
      </c>
      <c r="H37" t="s">
        <v>16</v>
      </c>
      <c r="I37" t="s">
        <v>120</v>
      </c>
      <c r="J37" t="s">
        <v>18</v>
      </c>
      <c r="K37">
        <v>43000</v>
      </c>
      <c r="M37" t="str">
        <f>IF(Table1_1[[#This Row],[Exit_Date]]="","Active","Exited")</f>
        <v>Active</v>
      </c>
      <c r="N37">
        <f>IF(Table1_1[[#This Row],[Employee_Status]]="Exited",1,0)</f>
        <v>0</v>
      </c>
      <c r="O37">
        <f>IF(Table1_1[[#This Row],[Employee_Status]]="Active",1,0)</f>
        <v>1</v>
      </c>
      <c r="P37" s="2">
        <f ca="1">IF(Table1_1[[#This Row],[Employee_Status]]="Active",YEARFRAC(Table1_1[[#This Row],[Join_Date]],TODAY()),YEARFRAC(Table1_1[[#This Row],[Join_Date]],Table1_1[[#This Row],[Exit_Date]]))</f>
        <v>5.4138888888888888</v>
      </c>
      <c r="Q37" s="3">
        <f ca="1">YEARFRAC(Table1_1[[#This Row],[Date_of_Birth]],TODAY())</f>
        <v>30.152777777777779</v>
      </c>
      <c r="R37">
        <f>YEAR(Table1_1[[#This Row],[Join_Date]])</f>
        <v>2020</v>
      </c>
      <c r="S37" t="str">
        <f>TEXT(Table1_1[[#This Row],[Join_Date]],"yyyy-mm")</f>
        <v>2020-09</v>
      </c>
      <c r="T37" t="str">
        <f>IF(Table1_1[[#This Row],[Exit_Date]]="","",YEAR(Table1_1[[#This Row],[Exit_Date]]))</f>
        <v/>
      </c>
      <c r="U37" t="str">
        <f>IF(Table1_1[[#This Row],[Exit_Date]]="","",TEXT(Table1_1[[#This Row],[Exit_Date]],"yyyy-mm"))</f>
        <v/>
      </c>
      <c r="V37">
        <f>IF(Table1_1[[#This Row],[Employment_Type]]="Contract",1,0)</f>
        <v>0</v>
      </c>
    </row>
    <row r="38" spans="1:22" x14ac:dyDescent="0.3">
      <c r="A38" t="s">
        <v>121</v>
      </c>
      <c r="B38" t="s">
        <v>122</v>
      </c>
      <c r="C38" t="s">
        <v>14</v>
      </c>
      <c r="D38" s="1">
        <v>32663</v>
      </c>
      <c r="E38" s="1">
        <v>42370</v>
      </c>
      <c r="F38" s="1"/>
      <c r="G38" t="s">
        <v>28</v>
      </c>
      <c r="H38" t="s">
        <v>44</v>
      </c>
      <c r="I38" t="s">
        <v>30</v>
      </c>
      <c r="J38" t="s">
        <v>18</v>
      </c>
      <c r="K38">
        <v>105000</v>
      </c>
      <c r="M38" t="str">
        <f>IF(Table1_1[[#This Row],[Exit_Date]]="","Active","Exited")</f>
        <v>Active</v>
      </c>
      <c r="N38">
        <f>IF(Table1_1[[#This Row],[Employee_Status]]="Exited",1,0)</f>
        <v>0</v>
      </c>
      <c r="O38">
        <f>IF(Table1_1[[#This Row],[Employee_Status]]="Active",1,0)</f>
        <v>1</v>
      </c>
      <c r="P38" s="2">
        <f ca="1">IF(Table1_1[[#This Row],[Employee_Status]]="Active",YEARFRAC(Table1_1[[#This Row],[Join_Date]],TODAY()),YEARFRAC(Table1_1[[#This Row],[Join_Date]],Table1_1[[#This Row],[Exit_Date]]))</f>
        <v>10.102777777777778</v>
      </c>
      <c r="Q38" s="3">
        <f ca="1">YEARFRAC(Table1_1[[#This Row],[Date_of_Birth]],TODAY())</f>
        <v>36.677777777777777</v>
      </c>
      <c r="R38">
        <f>YEAR(Table1_1[[#This Row],[Join_Date]])</f>
        <v>2016</v>
      </c>
      <c r="S38" t="str">
        <f>TEXT(Table1_1[[#This Row],[Join_Date]],"yyyy-mm")</f>
        <v>2016-01</v>
      </c>
      <c r="T38" t="str">
        <f>IF(Table1_1[[#This Row],[Exit_Date]]="","",YEAR(Table1_1[[#This Row],[Exit_Date]]))</f>
        <v/>
      </c>
      <c r="U38" t="str">
        <f>IF(Table1_1[[#This Row],[Exit_Date]]="","",TEXT(Table1_1[[#This Row],[Exit_Date]],"yyyy-mm"))</f>
        <v/>
      </c>
      <c r="V38">
        <f>IF(Table1_1[[#This Row],[Employment_Type]]="Contract",1,0)</f>
        <v>0</v>
      </c>
    </row>
    <row r="39" spans="1:22" x14ac:dyDescent="0.3">
      <c r="A39" t="s">
        <v>123</v>
      </c>
      <c r="B39" t="s">
        <v>124</v>
      </c>
      <c r="C39" t="s">
        <v>21</v>
      </c>
      <c r="D39" s="1">
        <v>36086</v>
      </c>
      <c r="E39" s="1">
        <v>44480</v>
      </c>
      <c r="F39" s="1"/>
      <c r="G39" t="s">
        <v>15</v>
      </c>
      <c r="H39" t="s">
        <v>16</v>
      </c>
      <c r="I39" t="s">
        <v>125</v>
      </c>
      <c r="J39" t="s">
        <v>18</v>
      </c>
      <c r="K39">
        <v>38000</v>
      </c>
      <c r="M39" t="str">
        <f>IF(Table1_1[[#This Row],[Exit_Date]]="","Active","Exited")</f>
        <v>Active</v>
      </c>
      <c r="N39">
        <f>IF(Table1_1[[#This Row],[Employee_Status]]="Exited",1,0)</f>
        <v>0</v>
      </c>
      <c r="O39">
        <f>IF(Table1_1[[#This Row],[Employee_Status]]="Active",1,0)</f>
        <v>1</v>
      </c>
      <c r="P39" s="2">
        <f ca="1">IF(Table1_1[[#This Row],[Employee_Status]]="Active",YEARFRAC(Table1_1[[#This Row],[Join_Date]],TODAY()),YEARFRAC(Table1_1[[#This Row],[Join_Date]],Table1_1[[#This Row],[Exit_Date]]))</f>
        <v>4.3250000000000002</v>
      </c>
      <c r="Q39" s="3">
        <f ca="1">YEARFRAC(Table1_1[[#This Row],[Date_of_Birth]],TODAY())</f>
        <v>27.305555555555557</v>
      </c>
      <c r="R39">
        <f>YEAR(Table1_1[[#This Row],[Join_Date]])</f>
        <v>2021</v>
      </c>
      <c r="S39" t="str">
        <f>TEXT(Table1_1[[#This Row],[Join_Date]],"yyyy-mm")</f>
        <v>2021-10</v>
      </c>
      <c r="T39" t="str">
        <f>IF(Table1_1[[#This Row],[Exit_Date]]="","",YEAR(Table1_1[[#This Row],[Exit_Date]]))</f>
        <v/>
      </c>
      <c r="U39" t="str">
        <f>IF(Table1_1[[#This Row],[Exit_Date]]="","",TEXT(Table1_1[[#This Row],[Exit_Date]],"yyyy-mm"))</f>
        <v/>
      </c>
      <c r="V39">
        <f>IF(Table1_1[[#This Row],[Employment_Type]]="Contract",1,0)</f>
        <v>0</v>
      </c>
    </row>
    <row r="40" spans="1:22" x14ac:dyDescent="0.3">
      <c r="A40" t="s">
        <v>126</v>
      </c>
      <c r="B40" t="s">
        <v>127</v>
      </c>
      <c r="C40" t="s">
        <v>14</v>
      </c>
      <c r="D40" s="1">
        <v>31100</v>
      </c>
      <c r="E40" s="1">
        <v>40303</v>
      </c>
      <c r="F40" s="1"/>
      <c r="G40" t="s">
        <v>33</v>
      </c>
      <c r="H40" t="s">
        <v>88</v>
      </c>
      <c r="I40" t="s">
        <v>17</v>
      </c>
      <c r="J40" t="s">
        <v>18</v>
      </c>
      <c r="K40">
        <v>170000</v>
      </c>
      <c r="M40" t="str">
        <f>IF(Table1_1[[#This Row],[Exit_Date]]="","Active","Exited")</f>
        <v>Active</v>
      </c>
      <c r="N40">
        <f>IF(Table1_1[[#This Row],[Employee_Status]]="Exited",1,0)</f>
        <v>0</v>
      </c>
      <c r="O40">
        <f>IF(Table1_1[[#This Row],[Employee_Status]]="Active",1,0)</f>
        <v>1</v>
      </c>
      <c r="P40" s="2">
        <f ca="1">IF(Table1_1[[#This Row],[Employee_Status]]="Active",YEARFRAC(Table1_1[[#This Row],[Join_Date]],TODAY()),YEARFRAC(Table1_1[[#This Row],[Join_Date]],Table1_1[[#This Row],[Exit_Date]]))</f>
        <v>15.758333333333333</v>
      </c>
      <c r="Q40" s="3">
        <f ca="1">YEARFRAC(Table1_1[[#This Row],[Date_of_Birth]],TODAY())</f>
        <v>40.961111111111109</v>
      </c>
      <c r="R40">
        <f>YEAR(Table1_1[[#This Row],[Join_Date]])</f>
        <v>2010</v>
      </c>
      <c r="S40" t="str">
        <f>TEXT(Table1_1[[#This Row],[Join_Date]],"yyyy-mm")</f>
        <v>2010-05</v>
      </c>
      <c r="T40" t="str">
        <f>IF(Table1_1[[#This Row],[Exit_Date]]="","",YEAR(Table1_1[[#This Row],[Exit_Date]]))</f>
        <v/>
      </c>
      <c r="U40" t="str">
        <f>IF(Table1_1[[#This Row],[Exit_Date]]="","",TEXT(Table1_1[[#This Row],[Exit_Date]],"yyyy-mm"))</f>
        <v/>
      </c>
      <c r="V40">
        <f>IF(Table1_1[[#This Row],[Employment_Type]]="Contract",1,0)</f>
        <v>0</v>
      </c>
    </row>
    <row r="41" spans="1:22" x14ac:dyDescent="0.3">
      <c r="A41" t="s">
        <v>128</v>
      </c>
      <c r="B41" t="s">
        <v>129</v>
      </c>
      <c r="C41" t="s">
        <v>21</v>
      </c>
      <c r="D41" s="1">
        <v>34180</v>
      </c>
      <c r="E41" s="1">
        <v>43510</v>
      </c>
      <c r="F41" s="1"/>
      <c r="G41" t="s">
        <v>28</v>
      </c>
      <c r="H41" t="s">
        <v>23</v>
      </c>
      <c r="I41" t="s">
        <v>24</v>
      </c>
      <c r="J41" t="s">
        <v>18</v>
      </c>
      <c r="K41">
        <v>71000</v>
      </c>
      <c r="M41" t="str">
        <f>IF(Table1_1[[#This Row],[Exit_Date]]="","Active","Exited")</f>
        <v>Active</v>
      </c>
      <c r="N41">
        <f>IF(Table1_1[[#This Row],[Employee_Status]]="Exited",1,0)</f>
        <v>0</v>
      </c>
      <c r="O41">
        <f>IF(Table1_1[[#This Row],[Employee_Status]]="Active",1,0)</f>
        <v>1</v>
      </c>
      <c r="P41" s="2">
        <f ca="1">IF(Table1_1[[#This Row],[Employee_Status]]="Active",YEARFRAC(Table1_1[[#This Row],[Join_Date]],TODAY()),YEARFRAC(Table1_1[[#This Row],[Join_Date]],Table1_1[[#This Row],[Exit_Date]]))</f>
        <v>6.9833333333333334</v>
      </c>
      <c r="Q41" s="3">
        <f ca="1">YEARFRAC(Table1_1[[#This Row],[Date_of_Birth]],TODAY())</f>
        <v>32.522222222222226</v>
      </c>
      <c r="R41">
        <f>YEAR(Table1_1[[#This Row],[Join_Date]])</f>
        <v>2019</v>
      </c>
      <c r="S41" t="str">
        <f>TEXT(Table1_1[[#This Row],[Join_Date]],"yyyy-mm")</f>
        <v>2019-02</v>
      </c>
      <c r="T41" t="str">
        <f>IF(Table1_1[[#This Row],[Exit_Date]]="","",YEAR(Table1_1[[#This Row],[Exit_Date]]))</f>
        <v/>
      </c>
      <c r="U41" t="str">
        <f>IF(Table1_1[[#This Row],[Exit_Date]]="","",TEXT(Table1_1[[#This Row],[Exit_Date]],"yyyy-mm"))</f>
        <v/>
      </c>
      <c r="V41">
        <f>IF(Table1_1[[#This Row],[Employment_Type]]="Contract",1,0)</f>
        <v>0</v>
      </c>
    </row>
    <row r="42" spans="1:22" x14ac:dyDescent="0.3">
      <c r="A42" t="s">
        <v>130</v>
      </c>
      <c r="B42" t="s">
        <v>131</v>
      </c>
      <c r="C42" t="s">
        <v>14</v>
      </c>
      <c r="D42" s="1">
        <v>33863</v>
      </c>
      <c r="E42" s="1">
        <v>43529</v>
      </c>
      <c r="F42" s="1"/>
      <c r="G42" t="s">
        <v>22</v>
      </c>
      <c r="H42" t="s">
        <v>16</v>
      </c>
      <c r="I42" t="s">
        <v>45</v>
      </c>
      <c r="J42" t="s">
        <v>18</v>
      </c>
      <c r="K42">
        <v>47000</v>
      </c>
      <c r="M42" t="str">
        <f>IF(Table1_1[[#This Row],[Exit_Date]]="","Active","Exited")</f>
        <v>Active</v>
      </c>
      <c r="N42">
        <f>IF(Table1_1[[#This Row],[Employee_Status]]="Exited",1,0)</f>
        <v>0</v>
      </c>
      <c r="O42">
        <f>IF(Table1_1[[#This Row],[Employee_Status]]="Active",1,0)</f>
        <v>1</v>
      </c>
      <c r="P42" s="2">
        <f ca="1">IF(Table1_1[[#This Row],[Employee_Status]]="Active",YEARFRAC(Table1_1[[#This Row],[Join_Date]],TODAY()),YEARFRAC(Table1_1[[#This Row],[Join_Date]],Table1_1[[#This Row],[Exit_Date]]))</f>
        <v>6.9249999999999998</v>
      </c>
      <c r="Q42" s="3">
        <f ca="1">YEARFRAC(Table1_1[[#This Row],[Date_of_Birth]],TODAY())</f>
        <v>33.394444444444446</v>
      </c>
      <c r="R42">
        <f>YEAR(Table1_1[[#This Row],[Join_Date]])</f>
        <v>2019</v>
      </c>
      <c r="S42" t="str">
        <f>TEXT(Table1_1[[#This Row],[Join_Date]],"yyyy-mm")</f>
        <v>2019-03</v>
      </c>
      <c r="T42" t="str">
        <f>IF(Table1_1[[#This Row],[Exit_Date]]="","",YEAR(Table1_1[[#This Row],[Exit_Date]]))</f>
        <v/>
      </c>
      <c r="U42" t="str">
        <f>IF(Table1_1[[#This Row],[Exit_Date]]="","",TEXT(Table1_1[[#This Row],[Exit_Date]],"yyyy-mm"))</f>
        <v/>
      </c>
      <c r="V42">
        <f>IF(Table1_1[[#This Row],[Employment_Type]]="Contract",1,0)</f>
        <v>0</v>
      </c>
    </row>
    <row r="43" spans="1:22" x14ac:dyDescent="0.3">
      <c r="A43" t="s">
        <v>132</v>
      </c>
      <c r="B43" t="s">
        <v>133</v>
      </c>
      <c r="C43" t="s">
        <v>21</v>
      </c>
      <c r="D43" s="1">
        <v>34726</v>
      </c>
      <c r="E43" s="1">
        <v>44061</v>
      </c>
      <c r="F43" s="1"/>
      <c r="G43" t="s">
        <v>33</v>
      </c>
      <c r="H43" t="s">
        <v>16</v>
      </c>
      <c r="I43" t="s">
        <v>17</v>
      </c>
      <c r="J43" t="s">
        <v>18</v>
      </c>
      <c r="K43">
        <v>45000</v>
      </c>
      <c r="M43" t="str">
        <f>IF(Table1_1[[#This Row],[Exit_Date]]="","Active","Exited")</f>
        <v>Active</v>
      </c>
      <c r="N43">
        <f>IF(Table1_1[[#This Row],[Employee_Status]]="Exited",1,0)</f>
        <v>0</v>
      </c>
      <c r="O43">
        <f>IF(Table1_1[[#This Row],[Employee_Status]]="Active",1,0)</f>
        <v>1</v>
      </c>
      <c r="P43" s="2">
        <f ca="1">IF(Table1_1[[#This Row],[Employee_Status]]="Active",YEARFRAC(Table1_1[[#This Row],[Join_Date]],TODAY()),YEARFRAC(Table1_1[[#This Row],[Join_Date]],Table1_1[[#This Row],[Exit_Date]]))</f>
        <v>5.4722222222222223</v>
      </c>
      <c r="Q43" s="3">
        <f ca="1">YEARFRAC(Table1_1[[#This Row],[Date_of_Birth]],TODAY())</f>
        <v>31.030555555555555</v>
      </c>
      <c r="R43">
        <f>YEAR(Table1_1[[#This Row],[Join_Date]])</f>
        <v>2020</v>
      </c>
      <c r="S43" t="str">
        <f>TEXT(Table1_1[[#This Row],[Join_Date]],"yyyy-mm")</f>
        <v>2020-08</v>
      </c>
      <c r="T43" t="str">
        <f>IF(Table1_1[[#This Row],[Exit_Date]]="","",YEAR(Table1_1[[#This Row],[Exit_Date]]))</f>
        <v/>
      </c>
      <c r="U43" t="str">
        <f>IF(Table1_1[[#This Row],[Exit_Date]]="","",TEXT(Table1_1[[#This Row],[Exit_Date]],"yyyy-mm"))</f>
        <v/>
      </c>
      <c r="V43">
        <f>IF(Table1_1[[#This Row],[Employment_Type]]="Contract",1,0)</f>
        <v>0</v>
      </c>
    </row>
    <row r="44" spans="1:22" x14ac:dyDescent="0.3">
      <c r="A44" t="s">
        <v>134</v>
      </c>
      <c r="B44" t="s">
        <v>135</v>
      </c>
      <c r="C44" t="s">
        <v>14</v>
      </c>
      <c r="D44" s="1">
        <v>32302</v>
      </c>
      <c r="E44" s="1">
        <v>42685</v>
      </c>
      <c r="F44" s="1"/>
      <c r="G44" t="s">
        <v>43</v>
      </c>
      <c r="H44" t="s">
        <v>29</v>
      </c>
      <c r="I44" t="s">
        <v>57</v>
      </c>
      <c r="J44" t="s">
        <v>18</v>
      </c>
      <c r="K44">
        <v>90000</v>
      </c>
      <c r="M44" t="str">
        <f>IF(Table1_1[[#This Row],[Exit_Date]]="","Active","Exited")</f>
        <v>Active</v>
      </c>
      <c r="N44">
        <f>IF(Table1_1[[#This Row],[Employee_Status]]="Exited",1,0)</f>
        <v>0</v>
      </c>
      <c r="O44">
        <f>IF(Table1_1[[#This Row],[Employee_Status]]="Active",1,0)</f>
        <v>1</v>
      </c>
      <c r="P44" s="2">
        <f ca="1">IF(Table1_1[[#This Row],[Employee_Status]]="Active",YEARFRAC(Table1_1[[#This Row],[Join_Date]],TODAY()),YEARFRAC(Table1_1[[#This Row],[Join_Date]],Table1_1[[#This Row],[Exit_Date]]))</f>
        <v>9.2416666666666671</v>
      </c>
      <c r="Q44" s="3">
        <f ca="1">YEARFRAC(Table1_1[[#This Row],[Date_of_Birth]],TODAY())</f>
        <v>37.666666666666664</v>
      </c>
      <c r="R44">
        <f>YEAR(Table1_1[[#This Row],[Join_Date]])</f>
        <v>2016</v>
      </c>
      <c r="S44" t="str">
        <f>TEXT(Table1_1[[#This Row],[Join_Date]],"yyyy-mm")</f>
        <v>2016-11</v>
      </c>
      <c r="T44" t="str">
        <f>IF(Table1_1[[#This Row],[Exit_Date]]="","",YEAR(Table1_1[[#This Row],[Exit_Date]]))</f>
        <v/>
      </c>
      <c r="U44" t="str">
        <f>IF(Table1_1[[#This Row],[Exit_Date]]="","",TEXT(Table1_1[[#This Row],[Exit_Date]],"yyyy-mm"))</f>
        <v/>
      </c>
      <c r="V44">
        <f>IF(Table1_1[[#This Row],[Employment_Type]]="Contract",1,0)</f>
        <v>0</v>
      </c>
    </row>
    <row r="45" spans="1:22" x14ac:dyDescent="0.3">
      <c r="A45" t="s">
        <v>136</v>
      </c>
      <c r="B45" t="s">
        <v>137</v>
      </c>
      <c r="C45" t="s">
        <v>21</v>
      </c>
      <c r="D45" s="1">
        <v>35508</v>
      </c>
      <c r="E45" s="1">
        <v>44249</v>
      </c>
      <c r="F45" s="1"/>
      <c r="G45" t="s">
        <v>28</v>
      </c>
      <c r="H45" t="s">
        <v>16</v>
      </c>
      <c r="I45" t="s">
        <v>125</v>
      </c>
      <c r="J45" t="s">
        <v>18</v>
      </c>
      <c r="K45">
        <v>42000</v>
      </c>
      <c r="M45" t="str">
        <f>IF(Table1_1[[#This Row],[Exit_Date]]="","Active","Exited")</f>
        <v>Active</v>
      </c>
      <c r="N45">
        <f>IF(Table1_1[[#This Row],[Employee_Status]]="Exited",1,0)</f>
        <v>0</v>
      </c>
      <c r="O45">
        <f>IF(Table1_1[[#This Row],[Employee_Status]]="Active",1,0)</f>
        <v>1</v>
      </c>
      <c r="P45" s="2">
        <f ca="1">IF(Table1_1[[#This Row],[Employee_Status]]="Active",YEARFRAC(Table1_1[[#This Row],[Join_Date]],TODAY()),YEARFRAC(Table1_1[[#This Row],[Join_Date]],Table1_1[[#This Row],[Exit_Date]]))</f>
        <v>4.9611111111111112</v>
      </c>
      <c r="Q45" s="3">
        <f ca="1">YEARFRAC(Table1_1[[#This Row],[Date_of_Birth]],TODAY())</f>
        <v>28.886111111111113</v>
      </c>
      <c r="R45">
        <f>YEAR(Table1_1[[#This Row],[Join_Date]])</f>
        <v>2021</v>
      </c>
      <c r="S45" t="str">
        <f>TEXT(Table1_1[[#This Row],[Join_Date]],"yyyy-mm")</f>
        <v>2021-02</v>
      </c>
      <c r="T45" t="str">
        <f>IF(Table1_1[[#This Row],[Exit_Date]]="","",YEAR(Table1_1[[#This Row],[Exit_Date]]))</f>
        <v/>
      </c>
      <c r="U45" t="str">
        <f>IF(Table1_1[[#This Row],[Exit_Date]]="","",TEXT(Table1_1[[#This Row],[Exit_Date]],"yyyy-mm"))</f>
        <v/>
      </c>
      <c r="V45">
        <f>IF(Table1_1[[#This Row],[Employment_Type]]="Contract",1,0)</f>
        <v>0</v>
      </c>
    </row>
    <row r="46" spans="1:22" x14ac:dyDescent="0.3">
      <c r="A46" t="s">
        <v>138</v>
      </c>
      <c r="B46" t="s">
        <v>139</v>
      </c>
      <c r="C46" t="s">
        <v>14</v>
      </c>
      <c r="D46" s="1">
        <v>33232</v>
      </c>
      <c r="E46" s="1">
        <v>42917</v>
      </c>
      <c r="F46" s="1">
        <v>44742</v>
      </c>
      <c r="G46" t="s">
        <v>15</v>
      </c>
      <c r="H46" t="s">
        <v>23</v>
      </c>
      <c r="I46" t="s">
        <v>30</v>
      </c>
      <c r="J46" t="s">
        <v>18</v>
      </c>
      <c r="K46">
        <v>62000</v>
      </c>
      <c r="L46" t="s">
        <v>37</v>
      </c>
      <c r="M46" t="str">
        <f>IF(Table1_1[[#This Row],[Exit_Date]]="","Active","Exited")</f>
        <v>Exited</v>
      </c>
      <c r="N46">
        <f>IF(Table1_1[[#This Row],[Employee_Status]]="Exited",1,0)</f>
        <v>1</v>
      </c>
      <c r="O46">
        <f>IF(Table1_1[[#This Row],[Employee_Status]]="Active",1,0)</f>
        <v>0</v>
      </c>
      <c r="P46" s="2">
        <f ca="1">IF(Table1_1[[#This Row],[Employee_Status]]="Active",YEARFRAC(Table1_1[[#This Row],[Join_Date]],TODAY()),YEARFRAC(Table1_1[[#This Row],[Join_Date]],Table1_1[[#This Row],[Exit_Date]]))</f>
        <v>4.9972222222222218</v>
      </c>
      <c r="Q46" s="3">
        <f ca="1">YEARFRAC(Table1_1[[#This Row],[Date_of_Birth]],TODAY())</f>
        <v>35.119444444444447</v>
      </c>
      <c r="R46">
        <f>YEAR(Table1_1[[#This Row],[Join_Date]])</f>
        <v>2017</v>
      </c>
      <c r="S46" t="str">
        <f>TEXT(Table1_1[[#This Row],[Join_Date]],"yyyy-mm")</f>
        <v>2017-07</v>
      </c>
      <c r="T46">
        <f>IF(Table1_1[[#This Row],[Exit_Date]]="","",YEAR(Table1_1[[#This Row],[Exit_Date]]))</f>
        <v>2022</v>
      </c>
      <c r="U46" t="str">
        <f>IF(Table1_1[[#This Row],[Exit_Date]]="","",TEXT(Table1_1[[#This Row],[Exit_Date]],"yyyy-mm"))</f>
        <v>2022-06</v>
      </c>
      <c r="V46">
        <f>IF(Table1_1[[#This Row],[Employment_Type]]="Contract",1,0)</f>
        <v>0</v>
      </c>
    </row>
    <row r="47" spans="1:22" x14ac:dyDescent="0.3">
      <c r="A47" t="s">
        <v>140</v>
      </c>
      <c r="B47" t="s">
        <v>141</v>
      </c>
      <c r="C47" t="s">
        <v>21</v>
      </c>
      <c r="D47" s="1">
        <v>35260</v>
      </c>
      <c r="E47" s="1">
        <v>44089</v>
      </c>
      <c r="F47" s="1"/>
      <c r="G47" t="s">
        <v>22</v>
      </c>
      <c r="H47" t="s">
        <v>23</v>
      </c>
      <c r="I47" t="s">
        <v>51</v>
      </c>
      <c r="J47" t="s">
        <v>18</v>
      </c>
      <c r="K47">
        <v>54000</v>
      </c>
      <c r="M47" t="str">
        <f>IF(Table1_1[[#This Row],[Exit_Date]]="","Active","Exited")</f>
        <v>Active</v>
      </c>
      <c r="N47">
        <f>IF(Table1_1[[#This Row],[Employee_Status]]="Exited",1,0)</f>
        <v>0</v>
      </c>
      <c r="O47">
        <f>IF(Table1_1[[#This Row],[Employee_Status]]="Active",1,0)</f>
        <v>1</v>
      </c>
      <c r="P47" s="2">
        <f ca="1">IF(Table1_1[[#This Row],[Employee_Status]]="Active",YEARFRAC(Table1_1[[#This Row],[Join_Date]],TODAY()),YEARFRAC(Table1_1[[#This Row],[Join_Date]],Table1_1[[#This Row],[Exit_Date]]))</f>
        <v>5.3972222222222221</v>
      </c>
      <c r="Q47" s="3">
        <f ca="1">YEARFRAC(Table1_1[[#This Row],[Date_of_Birth]],TODAY())</f>
        <v>29.566666666666666</v>
      </c>
      <c r="R47">
        <f>YEAR(Table1_1[[#This Row],[Join_Date]])</f>
        <v>2020</v>
      </c>
      <c r="S47" t="str">
        <f>TEXT(Table1_1[[#This Row],[Join_Date]],"yyyy-mm")</f>
        <v>2020-09</v>
      </c>
      <c r="T47" t="str">
        <f>IF(Table1_1[[#This Row],[Exit_Date]]="","",YEAR(Table1_1[[#This Row],[Exit_Date]]))</f>
        <v/>
      </c>
      <c r="U47" t="str">
        <f>IF(Table1_1[[#This Row],[Exit_Date]]="","",TEXT(Table1_1[[#This Row],[Exit_Date]],"yyyy-mm"))</f>
        <v/>
      </c>
      <c r="V47">
        <f>IF(Table1_1[[#This Row],[Employment_Type]]="Contract",1,0)</f>
        <v>0</v>
      </c>
    </row>
    <row r="48" spans="1:22" x14ac:dyDescent="0.3">
      <c r="A48" t="s">
        <v>142</v>
      </c>
      <c r="B48" t="s">
        <v>143</v>
      </c>
      <c r="C48" t="s">
        <v>14</v>
      </c>
      <c r="D48" s="1">
        <v>31080</v>
      </c>
      <c r="E48" s="1">
        <v>40461</v>
      </c>
      <c r="F48" s="1"/>
      <c r="G48" t="s">
        <v>33</v>
      </c>
      <c r="H48" t="s">
        <v>44</v>
      </c>
      <c r="I48" t="s">
        <v>108</v>
      </c>
      <c r="J48" t="s">
        <v>18</v>
      </c>
      <c r="K48">
        <v>130000</v>
      </c>
      <c r="M48" t="str">
        <f>IF(Table1_1[[#This Row],[Exit_Date]]="","Active","Exited")</f>
        <v>Active</v>
      </c>
      <c r="N48">
        <f>IF(Table1_1[[#This Row],[Employee_Status]]="Exited",1,0)</f>
        <v>0</v>
      </c>
      <c r="O48">
        <f>IF(Table1_1[[#This Row],[Employee_Status]]="Active",1,0)</f>
        <v>1</v>
      </c>
      <c r="P48" s="2">
        <f ca="1">IF(Table1_1[[#This Row],[Employee_Status]]="Active",YEARFRAC(Table1_1[[#This Row],[Join_Date]],TODAY()),YEARFRAC(Table1_1[[#This Row],[Join_Date]],Table1_1[[#This Row],[Exit_Date]]))</f>
        <v>15.327777777777778</v>
      </c>
      <c r="Q48" s="3">
        <f ca="1">YEARFRAC(Table1_1[[#This Row],[Date_of_Birth]],TODAY())</f>
        <v>41.016666666666666</v>
      </c>
      <c r="R48">
        <f>YEAR(Table1_1[[#This Row],[Join_Date]])</f>
        <v>2010</v>
      </c>
      <c r="S48" t="str">
        <f>TEXT(Table1_1[[#This Row],[Join_Date]],"yyyy-mm")</f>
        <v>2010-10</v>
      </c>
      <c r="T48" t="str">
        <f>IF(Table1_1[[#This Row],[Exit_Date]]="","",YEAR(Table1_1[[#This Row],[Exit_Date]]))</f>
        <v/>
      </c>
      <c r="U48" t="str">
        <f>IF(Table1_1[[#This Row],[Exit_Date]]="","",TEXT(Table1_1[[#This Row],[Exit_Date]],"yyyy-mm"))</f>
        <v/>
      </c>
      <c r="V48">
        <f>IF(Table1_1[[#This Row],[Employment_Type]]="Contract",1,0)</f>
        <v>0</v>
      </c>
    </row>
    <row r="49" spans="1:22" x14ac:dyDescent="0.3">
      <c r="A49" t="s">
        <v>144</v>
      </c>
      <c r="B49" t="s">
        <v>145</v>
      </c>
      <c r="C49" t="s">
        <v>21</v>
      </c>
      <c r="D49" s="1">
        <v>36108</v>
      </c>
      <c r="E49" s="1">
        <v>44564</v>
      </c>
      <c r="F49" s="1"/>
      <c r="G49" t="s">
        <v>28</v>
      </c>
      <c r="H49" t="s">
        <v>16</v>
      </c>
      <c r="I49" t="s">
        <v>65</v>
      </c>
      <c r="J49" t="s">
        <v>48</v>
      </c>
      <c r="K49">
        <v>30000</v>
      </c>
      <c r="M49" t="str">
        <f>IF(Table1_1[[#This Row],[Exit_Date]]="","Active","Exited")</f>
        <v>Active</v>
      </c>
      <c r="N49">
        <f>IF(Table1_1[[#This Row],[Employee_Status]]="Exited",1,0)</f>
        <v>0</v>
      </c>
      <c r="O49">
        <f>IF(Table1_1[[#This Row],[Employee_Status]]="Active",1,0)</f>
        <v>1</v>
      </c>
      <c r="P49" s="2">
        <f ca="1">IF(Table1_1[[#This Row],[Employee_Status]]="Active",YEARFRAC(Table1_1[[#This Row],[Join_Date]],TODAY()),YEARFRAC(Table1_1[[#This Row],[Join_Date]],Table1_1[[#This Row],[Exit_Date]]))</f>
        <v>4.0972222222222223</v>
      </c>
      <c r="Q49" s="3">
        <f ca="1">YEARFRAC(Table1_1[[#This Row],[Date_of_Birth]],TODAY())</f>
        <v>27.247222222222224</v>
      </c>
      <c r="R49">
        <f>YEAR(Table1_1[[#This Row],[Join_Date]])</f>
        <v>2022</v>
      </c>
      <c r="S49" t="str">
        <f>TEXT(Table1_1[[#This Row],[Join_Date]],"yyyy-mm")</f>
        <v>2022-01</v>
      </c>
      <c r="T49" t="str">
        <f>IF(Table1_1[[#This Row],[Exit_Date]]="","",YEAR(Table1_1[[#This Row],[Exit_Date]]))</f>
        <v/>
      </c>
      <c r="U49" t="str">
        <f>IF(Table1_1[[#This Row],[Exit_Date]]="","",TEXT(Table1_1[[#This Row],[Exit_Date]],"yyyy-mm"))</f>
        <v/>
      </c>
      <c r="V49">
        <f>IF(Table1_1[[#This Row],[Employment_Type]]="Contract",1,0)</f>
        <v>1</v>
      </c>
    </row>
    <row r="50" spans="1:22" x14ac:dyDescent="0.3">
      <c r="A50" t="s">
        <v>146</v>
      </c>
      <c r="B50" t="s">
        <v>147</v>
      </c>
      <c r="C50" t="s">
        <v>14</v>
      </c>
      <c r="D50" s="1">
        <v>34110</v>
      </c>
      <c r="E50" s="1">
        <v>43635</v>
      </c>
      <c r="F50" s="1"/>
      <c r="G50" t="s">
        <v>43</v>
      </c>
      <c r="H50" t="s">
        <v>16</v>
      </c>
      <c r="I50" t="s">
        <v>85</v>
      </c>
      <c r="J50" t="s">
        <v>18</v>
      </c>
      <c r="K50">
        <v>48000</v>
      </c>
      <c r="M50" t="str">
        <f>IF(Table1_1[[#This Row],[Exit_Date]]="","Active","Exited")</f>
        <v>Active</v>
      </c>
      <c r="N50">
        <f>IF(Table1_1[[#This Row],[Employee_Status]]="Exited",1,0)</f>
        <v>0</v>
      </c>
      <c r="O50">
        <f>IF(Table1_1[[#This Row],[Employee_Status]]="Active",1,0)</f>
        <v>1</v>
      </c>
      <c r="P50" s="2">
        <f ca="1">IF(Table1_1[[#This Row],[Employee_Status]]="Active",YEARFRAC(Table1_1[[#This Row],[Join_Date]],TODAY()),YEARFRAC(Table1_1[[#This Row],[Join_Date]],Table1_1[[#This Row],[Exit_Date]]))</f>
        <v>6.6361111111111111</v>
      </c>
      <c r="Q50" s="3">
        <f ca="1">YEARFRAC(Table1_1[[#This Row],[Date_of_Birth]],TODAY())</f>
        <v>32.713888888888889</v>
      </c>
      <c r="R50">
        <f>YEAR(Table1_1[[#This Row],[Join_Date]])</f>
        <v>2019</v>
      </c>
      <c r="S50" t="str">
        <f>TEXT(Table1_1[[#This Row],[Join_Date]],"yyyy-mm")</f>
        <v>2019-06</v>
      </c>
      <c r="T50" t="str">
        <f>IF(Table1_1[[#This Row],[Exit_Date]]="","",YEAR(Table1_1[[#This Row],[Exit_Date]]))</f>
        <v/>
      </c>
      <c r="U50" t="str">
        <f>IF(Table1_1[[#This Row],[Exit_Date]]="","",TEXT(Table1_1[[#This Row],[Exit_Date]],"yyyy-mm"))</f>
        <v/>
      </c>
      <c r="V50">
        <f>IF(Table1_1[[#This Row],[Employment_Type]]="Contract",1,0)</f>
        <v>0</v>
      </c>
    </row>
    <row r="51" spans="1:22" x14ac:dyDescent="0.3">
      <c r="A51" t="s">
        <v>148</v>
      </c>
      <c r="B51" t="s">
        <v>149</v>
      </c>
      <c r="C51" t="s">
        <v>14</v>
      </c>
      <c r="D51" s="1">
        <v>32727</v>
      </c>
      <c r="E51" s="1">
        <v>42414</v>
      </c>
      <c r="F51" s="1">
        <v>44938</v>
      </c>
      <c r="G51" t="s">
        <v>28</v>
      </c>
      <c r="H51" t="s">
        <v>23</v>
      </c>
      <c r="I51" t="s">
        <v>24</v>
      </c>
      <c r="J51" t="s">
        <v>18</v>
      </c>
      <c r="K51">
        <v>75000</v>
      </c>
      <c r="L51" t="s">
        <v>111</v>
      </c>
      <c r="M51" t="str">
        <f>IF(Table1_1[[#This Row],[Exit_Date]]="","Active","Exited")</f>
        <v>Exited</v>
      </c>
      <c r="N51">
        <f>IF(Table1_1[[#This Row],[Employee_Status]]="Exited",1,0)</f>
        <v>1</v>
      </c>
      <c r="O51">
        <f>IF(Table1_1[[#This Row],[Employee_Status]]="Active",1,0)</f>
        <v>0</v>
      </c>
      <c r="P51" s="2">
        <f ca="1">IF(Table1_1[[#This Row],[Employee_Status]]="Active",YEARFRAC(Table1_1[[#This Row],[Join_Date]],TODAY()),YEARFRAC(Table1_1[[#This Row],[Join_Date]],Table1_1[[#This Row],[Exit_Date]]))</f>
        <v>6.9111111111111114</v>
      </c>
      <c r="Q51" s="3">
        <f ca="1">YEARFRAC(Table1_1[[#This Row],[Date_of_Birth]],TODAY())</f>
        <v>36.50277777777778</v>
      </c>
      <c r="R51">
        <f>YEAR(Table1_1[[#This Row],[Join_Date]])</f>
        <v>2016</v>
      </c>
      <c r="S51" t="str">
        <f>TEXT(Table1_1[[#This Row],[Join_Date]],"yyyy-mm")</f>
        <v>2016-02</v>
      </c>
      <c r="T51">
        <f>IF(Table1_1[[#This Row],[Exit_Date]]="","",YEAR(Table1_1[[#This Row],[Exit_Date]]))</f>
        <v>2023</v>
      </c>
      <c r="U51" t="str">
        <f>IF(Table1_1[[#This Row],[Exit_Date]]="","",TEXT(Table1_1[[#This Row],[Exit_Date]],"yyyy-mm"))</f>
        <v>2023-01</v>
      </c>
      <c r="V51">
        <f>IF(Table1_1[[#This Row],[Employment_Type]]="Contract",1,0)</f>
        <v>0</v>
      </c>
    </row>
    <row r="52" spans="1:22" x14ac:dyDescent="0.3">
      <c r="A52" t="s">
        <v>150</v>
      </c>
      <c r="B52" t="s">
        <v>151</v>
      </c>
      <c r="C52" t="s">
        <v>21</v>
      </c>
      <c r="D52" s="1">
        <v>34442</v>
      </c>
      <c r="E52" s="1">
        <v>43671</v>
      </c>
      <c r="F52" s="1"/>
      <c r="G52" t="s">
        <v>22</v>
      </c>
      <c r="H52" t="s">
        <v>16</v>
      </c>
      <c r="I52" t="s">
        <v>152</v>
      </c>
      <c r="J52" t="s">
        <v>18</v>
      </c>
      <c r="K52">
        <v>41000</v>
      </c>
      <c r="M52" t="str">
        <f>IF(Table1_1[[#This Row],[Exit_Date]]="","Active","Exited")</f>
        <v>Active</v>
      </c>
      <c r="N52">
        <f>IF(Table1_1[[#This Row],[Employee_Status]]="Exited",1,0)</f>
        <v>0</v>
      </c>
      <c r="O52">
        <f>IF(Table1_1[[#This Row],[Employee_Status]]="Active",1,0)</f>
        <v>1</v>
      </c>
      <c r="P52" s="2">
        <f ca="1">IF(Table1_1[[#This Row],[Employee_Status]]="Active",YEARFRAC(Table1_1[[#This Row],[Join_Date]],TODAY()),YEARFRAC(Table1_1[[#This Row],[Join_Date]],Table1_1[[#This Row],[Exit_Date]]))</f>
        <v>6.5361111111111114</v>
      </c>
      <c r="Q52" s="3">
        <f ca="1">YEARFRAC(Table1_1[[#This Row],[Date_of_Birth]],TODAY())</f>
        <v>31.805555555555557</v>
      </c>
      <c r="R52">
        <f>YEAR(Table1_1[[#This Row],[Join_Date]])</f>
        <v>2019</v>
      </c>
      <c r="S52" t="str">
        <f>TEXT(Table1_1[[#This Row],[Join_Date]],"yyyy-mm")</f>
        <v>2019-07</v>
      </c>
      <c r="T52" t="str">
        <f>IF(Table1_1[[#This Row],[Exit_Date]]="","",YEAR(Table1_1[[#This Row],[Exit_Date]]))</f>
        <v/>
      </c>
      <c r="U52" t="str">
        <f>IF(Table1_1[[#This Row],[Exit_Date]]="","",TEXT(Table1_1[[#This Row],[Exit_Date]],"yyyy-mm"))</f>
        <v/>
      </c>
      <c r="V52">
        <f>IF(Table1_1[[#This Row],[Employment_Type]]="Contract",1,0)</f>
        <v>0</v>
      </c>
    </row>
    <row r="53" spans="1:22" x14ac:dyDescent="0.3">
      <c r="A53" t="s">
        <v>153</v>
      </c>
      <c r="B53" t="s">
        <v>154</v>
      </c>
      <c r="C53" t="s">
        <v>14</v>
      </c>
      <c r="D53" s="1">
        <v>33268</v>
      </c>
      <c r="E53" s="1">
        <v>43435</v>
      </c>
      <c r="F53" s="1"/>
      <c r="G53" t="s">
        <v>43</v>
      </c>
      <c r="H53" t="s">
        <v>23</v>
      </c>
      <c r="I53" t="s">
        <v>155</v>
      </c>
      <c r="J53" t="s">
        <v>18</v>
      </c>
      <c r="K53">
        <v>67000</v>
      </c>
      <c r="M53" t="str">
        <f>IF(Table1_1[[#This Row],[Exit_Date]]="","Active","Exited")</f>
        <v>Active</v>
      </c>
      <c r="N53">
        <f>IF(Table1_1[[#This Row],[Employee_Status]]="Exited",1,0)</f>
        <v>0</v>
      </c>
      <c r="O53">
        <f>IF(Table1_1[[#This Row],[Employee_Status]]="Active",1,0)</f>
        <v>1</v>
      </c>
      <c r="P53" s="2">
        <f ca="1">IF(Table1_1[[#This Row],[Employee_Status]]="Active",YEARFRAC(Table1_1[[#This Row],[Join_Date]],TODAY()),YEARFRAC(Table1_1[[#This Row],[Join_Date]],Table1_1[[#This Row],[Exit_Date]]))</f>
        <v>7.1861111111111109</v>
      </c>
      <c r="Q53" s="3">
        <f ca="1">YEARFRAC(Table1_1[[#This Row],[Date_of_Birth]],TODAY())</f>
        <v>35.022222222222226</v>
      </c>
      <c r="R53">
        <f>YEAR(Table1_1[[#This Row],[Join_Date]])</f>
        <v>2018</v>
      </c>
      <c r="S53" t="str">
        <f>TEXT(Table1_1[[#This Row],[Join_Date]],"yyyy-mm")</f>
        <v>2018-12</v>
      </c>
      <c r="T53" t="str">
        <f>IF(Table1_1[[#This Row],[Exit_Date]]="","",YEAR(Table1_1[[#This Row],[Exit_Date]]))</f>
        <v/>
      </c>
      <c r="U53" t="str">
        <f>IF(Table1_1[[#This Row],[Exit_Date]]="","",TEXT(Table1_1[[#This Row],[Exit_Date]],"yyyy-mm"))</f>
        <v/>
      </c>
      <c r="V53">
        <f>IF(Table1_1[[#This Row],[Employment_Type]]="Contract",1,0)</f>
        <v>0</v>
      </c>
    </row>
    <row r="54" spans="1:22" x14ac:dyDescent="0.3">
      <c r="A54" t="s">
        <v>156</v>
      </c>
      <c r="B54" t="s">
        <v>157</v>
      </c>
      <c r="C54" t="s">
        <v>21</v>
      </c>
      <c r="D54" s="1">
        <v>35714</v>
      </c>
      <c r="E54" s="1">
        <v>44417</v>
      </c>
      <c r="F54" s="1"/>
      <c r="G54" t="s">
        <v>33</v>
      </c>
      <c r="H54" t="s">
        <v>16</v>
      </c>
      <c r="I54" t="s">
        <v>30</v>
      </c>
      <c r="J54" t="s">
        <v>18</v>
      </c>
      <c r="K54">
        <v>39000</v>
      </c>
      <c r="M54" t="str">
        <f>IF(Table1_1[[#This Row],[Exit_Date]]="","Active","Exited")</f>
        <v>Active</v>
      </c>
      <c r="N54">
        <f>IF(Table1_1[[#This Row],[Employee_Status]]="Exited",1,0)</f>
        <v>0</v>
      </c>
      <c r="O54">
        <f>IF(Table1_1[[#This Row],[Employee_Status]]="Active",1,0)</f>
        <v>1</v>
      </c>
      <c r="P54" s="2">
        <f ca="1">IF(Table1_1[[#This Row],[Employee_Status]]="Active",YEARFRAC(Table1_1[[#This Row],[Join_Date]],TODAY()),YEARFRAC(Table1_1[[#This Row],[Join_Date]],Table1_1[[#This Row],[Exit_Date]]))</f>
        <v>4.4972222222222218</v>
      </c>
      <c r="Q54" s="3">
        <f ca="1">YEARFRAC(Table1_1[[#This Row],[Date_of_Birth]],TODAY())</f>
        <v>28.324999999999999</v>
      </c>
      <c r="R54">
        <f>YEAR(Table1_1[[#This Row],[Join_Date]])</f>
        <v>2021</v>
      </c>
      <c r="S54" t="str">
        <f>TEXT(Table1_1[[#This Row],[Join_Date]],"yyyy-mm")</f>
        <v>2021-08</v>
      </c>
      <c r="T54" t="str">
        <f>IF(Table1_1[[#This Row],[Exit_Date]]="","",YEAR(Table1_1[[#This Row],[Exit_Date]]))</f>
        <v/>
      </c>
      <c r="U54" t="str">
        <f>IF(Table1_1[[#This Row],[Exit_Date]]="","",TEXT(Table1_1[[#This Row],[Exit_Date]],"yyyy-mm"))</f>
        <v/>
      </c>
      <c r="V54">
        <f>IF(Table1_1[[#This Row],[Employment_Type]]="Contract",1,0)</f>
        <v>0</v>
      </c>
    </row>
    <row r="55" spans="1:22" x14ac:dyDescent="0.3">
      <c r="A55" t="s">
        <v>158</v>
      </c>
      <c r="B55" t="s">
        <v>159</v>
      </c>
      <c r="C55" t="s">
        <v>14</v>
      </c>
      <c r="D55" s="1">
        <v>31589</v>
      </c>
      <c r="E55" s="1">
        <v>41715</v>
      </c>
      <c r="F55" s="1"/>
      <c r="G55" t="s">
        <v>28</v>
      </c>
      <c r="H55" t="s">
        <v>29</v>
      </c>
      <c r="I55" t="s">
        <v>160</v>
      </c>
      <c r="J55" t="s">
        <v>18</v>
      </c>
      <c r="K55">
        <v>98000</v>
      </c>
      <c r="M55" t="str">
        <f>IF(Table1_1[[#This Row],[Exit_Date]]="","Active","Exited")</f>
        <v>Active</v>
      </c>
      <c r="N55">
        <f>IF(Table1_1[[#This Row],[Employee_Status]]="Exited",1,0)</f>
        <v>0</v>
      </c>
      <c r="O55">
        <f>IF(Table1_1[[#This Row],[Employee_Status]]="Active",1,0)</f>
        <v>1</v>
      </c>
      <c r="P55" s="2">
        <f ca="1">IF(Table1_1[[#This Row],[Employee_Status]]="Active",YEARFRAC(Table1_1[[#This Row],[Join_Date]],TODAY()),YEARFRAC(Table1_1[[#This Row],[Join_Date]],Table1_1[[#This Row],[Exit_Date]]))</f>
        <v>11.891666666666667</v>
      </c>
      <c r="Q55" s="3">
        <f ca="1">YEARFRAC(Table1_1[[#This Row],[Date_of_Birth]],TODAY())</f>
        <v>39.616666666666667</v>
      </c>
      <c r="R55">
        <f>YEAR(Table1_1[[#This Row],[Join_Date]])</f>
        <v>2014</v>
      </c>
      <c r="S55" t="str">
        <f>TEXT(Table1_1[[#This Row],[Join_Date]],"yyyy-mm")</f>
        <v>2014-03</v>
      </c>
      <c r="T55" t="str">
        <f>IF(Table1_1[[#This Row],[Exit_Date]]="","",YEAR(Table1_1[[#This Row],[Exit_Date]]))</f>
        <v/>
      </c>
      <c r="U55" t="str">
        <f>IF(Table1_1[[#This Row],[Exit_Date]]="","",TEXT(Table1_1[[#This Row],[Exit_Date]],"yyyy-mm"))</f>
        <v/>
      </c>
      <c r="V55">
        <f>IF(Table1_1[[#This Row],[Employment_Type]]="Contract",1,0)</f>
        <v>0</v>
      </c>
    </row>
    <row r="56" spans="1:22" x14ac:dyDescent="0.3">
      <c r="A56" t="s">
        <v>161</v>
      </c>
      <c r="B56" t="s">
        <v>162</v>
      </c>
      <c r="C56" t="s">
        <v>21</v>
      </c>
      <c r="D56" s="1">
        <v>36285</v>
      </c>
      <c r="E56" s="1">
        <v>44571</v>
      </c>
      <c r="F56" s="1"/>
      <c r="G56" t="s">
        <v>22</v>
      </c>
      <c r="H56" t="s">
        <v>16</v>
      </c>
      <c r="I56" t="s">
        <v>125</v>
      </c>
      <c r="J56" t="s">
        <v>48</v>
      </c>
      <c r="K56">
        <v>33000</v>
      </c>
      <c r="M56" t="str">
        <f>IF(Table1_1[[#This Row],[Exit_Date]]="","Active","Exited")</f>
        <v>Active</v>
      </c>
      <c r="N56">
        <f>IF(Table1_1[[#This Row],[Employee_Status]]="Exited",1,0)</f>
        <v>0</v>
      </c>
      <c r="O56">
        <f>IF(Table1_1[[#This Row],[Employee_Status]]="Active",1,0)</f>
        <v>1</v>
      </c>
      <c r="P56" s="2">
        <f ca="1">IF(Table1_1[[#This Row],[Employee_Status]]="Active",YEARFRAC(Table1_1[[#This Row],[Join_Date]],TODAY()),YEARFRAC(Table1_1[[#This Row],[Join_Date]],Table1_1[[#This Row],[Exit_Date]]))</f>
        <v>4.0777777777777775</v>
      </c>
      <c r="Q56" s="3">
        <f ca="1">YEARFRAC(Table1_1[[#This Row],[Date_of_Birth]],TODAY())</f>
        <v>26.758333333333333</v>
      </c>
      <c r="R56">
        <f>YEAR(Table1_1[[#This Row],[Join_Date]])</f>
        <v>2022</v>
      </c>
      <c r="S56" t="str">
        <f>TEXT(Table1_1[[#This Row],[Join_Date]],"yyyy-mm")</f>
        <v>2022-01</v>
      </c>
      <c r="T56" t="str">
        <f>IF(Table1_1[[#This Row],[Exit_Date]]="","",YEAR(Table1_1[[#This Row],[Exit_Date]]))</f>
        <v/>
      </c>
      <c r="U56" t="str">
        <f>IF(Table1_1[[#This Row],[Exit_Date]]="","",TEXT(Table1_1[[#This Row],[Exit_Date]],"yyyy-mm"))</f>
        <v/>
      </c>
      <c r="V56">
        <f>IF(Table1_1[[#This Row],[Employment_Type]]="Contract",1,0)</f>
        <v>1</v>
      </c>
    </row>
    <row r="57" spans="1:22" x14ac:dyDescent="0.3">
      <c r="A57" t="s">
        <v>163</v>
      </c>
      <c r="B57" t="s">
        <v>164</v>
      </c>
      <c r="C57" t="s">
        <v>14</v>
      </c>
      <c r="D57" s="1">
        <v>33221</v>
      </c>
      <c r="E57" s="1">
        <v>42845</v>
      </c>
      <c r="F57" s="1"/>
      <c r="G57" t="s">
        <v>33</v>
      </c>
      <c r="H57" t="s">
        <v>23</v>
      </c>
      <c r="I57" t="s">
        <v>165</v>
      </c>
      <c r="J57" t="s">
        <v>18</v>
      </c>
      <c r="K57">
        <v>66000</v>
      </c>
      <c r="M57" t="str">
        <f>IF(Table1_1[[#This Row],[Exit_Date]]="","Active","Exited")</f>
        <v>Active</v>
      </c>
      <c r="N57">
        <f>IF(Table1_1[[#This Row],[Employee_Status]]="Exited",1,0)</f>
        <v>0</v>
      </c>
      <c r="O57">
        <f>IF(Table1_1[[#This Row],[Employee_Status]]="Active",1,0)</f>
        <v>1</v>
      </c>
      <c r="P57" s="2">
        <f ca="1">IF(Table1_1[[#This Row],[Employee_Status]]="Active",YEARFRAC(Table1_1[[#This Row],[Join_Date]],TODAY()),YEARFRAC(Table1_1[[#This Row],[Join_Date]],Table1_1[[#This Row],[Exit_Date]]))</f>
        <v>8.8000000000000007</v>
      </c>
      <c r="Q57" s="3">
        <f ca="1">YEARFRAC(Table1_1[[#This Row],[Date_of_Birth]],TODAY())</f>
        <v>35.15</v>
      </c>
      <c r="R57">
        <f>YEAR(Table1_1[[#This Row],[Join_Date]])</f>
        <v>2017</v>
      </c>
      <c r="S57" t="str">
        <f>TEXT(Table1_1[[#This Row],[Join_Date]],"yyyy-mm")</f>
        <v>2017-04</v>
      </c>
      <c r="T57" t="str">
        <f>IF(Table1_1[[#This Row],[Exit_Date]]="","",YEAR(Table1_1[[#This Row],[Exit_Date]]))</f>
        <v/>
      </c>
      <c r="U57" t="str">
        <f>IF(Table1_1[[#This Row],[Exit_Date]]="","",TEXT(Table1_1[[#This Row],[Exit_Date]],"yyyy-mm"))</f>
        <v/>
      </c>
      <c r="V57">
        <f>IF(Table1_1[[#This Row],[Employment_Type]]="Contract",1,0)</f>
        <v>0</v>
      </c>
    </row>
    <row r="58" spans="1:22" x14ac:dyDescent="0.3">
      <c r="A58" t="s">
        <v>166</v>
      </c>
      <c r="B58" t="s">
        <v>167</v>
      </c>
      <c r="C58" t="s">
        <v>21</v>
      </c>
      <c r="D58" s="1">
        <v>34943</v>
      </c>
      <c r="E58" s="1">
        <v>43997</v>
      </c>
      <c r="F58" s="1">
        <v>45064</v>
      </c>
      <c r="G58" t="s">
        <v>15</v>
      </c>
      <c r="H58" t="s">
        <v>16</v>
      </c>
      <c r="I58" t="s">
        <v>24</v>
      </c>
      <c r="J58" t="s">
        <v>18</v>
      </c>
      <c r="K58">
        <v>44000</v>
      </c>
      <c r="L58" t="s">
        <v>76</v>
      </c>
      <c r="M58" t="str">
        <f>IF(Table1_1[[#This Row],[Exit_Date]]="","Active","Exited")</f>
        <v>Exited</v>
      </c>
      <c r="N58">
        <f>IF(Table1_1[[#This Row],[Employee_Status]]="Exited",1,0)</f>
        <v>1</v>
      </c>
      <c r="O58">
        <f>IF(Table1_1[[#This Row],[Employee_Status]]="Active",1,0)</f>
        <v>0</v>
      </c>
      <c r="P58" s="2">
        <f ca="1">IF(Table1_1[[#This Row],[Employee_Status]]="Active",YEARFRAC(Table1_1[[#This Row],[Join_Date]],TODAY()),YEARFRAC(Table1_1[[#This Row],[Join_Date]],Table1_1[[#This Row],[Exit_Date]]))</f>
        <v>2.9249999999999998</v>
      </c>
      <c r="Q58" s="3">
        <f ca="1">YEARFRAC(Table1_1[[#This Row],[Date_of_Birth]],TODAY())</f>
        <v>30.43611111111111</v>
      </c>
      <c r="R58">
        <f>YEAR(Table1_1[[#This Row],[Join_Date]])</f>
        <v>2020</v>
      </c>
      <c r="S58" t="str">
        <f>TEXT(Table1_1[[#This Row],[Join_Date]],"yyyy-mm")</f>
        <v>2020-06</v>
      </c>
      <c r="T58">
        <f>IF(Table1_1[[#This Row],[Exit_Date]]="","",YEAR(Table1_1[[#This Row],[Exit_Date]]))</f>
        <v>2023</v>
      </c>
      <c r="U58" t="str">
        <f>IF(Table1_1[[#This Row],[Exit_Date]]="","",TEXT(Table1_1[[#This Row],[Exit_Date]],"yyyy-mm"))</f>
        <v>2023-05</v>
      </c>
      <c r="V58">
        <f>IF(Table1_1[[#This Row],[Employment_Type]]="Contract",1,0)</f>
        <v>0</v>
      </c>
    </row>
    <row r="59" spans="1:22" x14ac:dyDescent="0.3">
      <c r="A59" t="s">
        <v>168</v>
      </c>
      <c r="B59" t="s">
        <v>169</v>
      </c>
      <c r="C59" t="s">
        <v>14</v>
      </c>
      <c r="D59" s="1">
        <v>30721</v>
      </c>
      <c r="E59" s="1">
        <v>40128</v>
      </c>
      <c r="F59" s="1"/>
      <c r="G59" t="s">
        <v>43</v>
      </c>
      <c r="H59" t="s">
        <v>88</v>
      </c>
      <c r="I59" t="s">
        <v>91</v>
      </c>
      <c r="J59" t="s">
        <v>18</v>
      </c>
      <c r="K59">
        <v>165000</v>
      </c>
      <c r="M59" t="str">
        <f>IF(Table1_1[[#This Row],[Exit_Date]]="","Active","Exited")</f>
        <v>Active</v>
      </c>
      <c r="N59">
        <f>IF(Table1_1[[#This Row],[Employee_Status]]="Exited",1,0)</f>
        <v>0</v>
      </c>
      <c r="O59">
        <f>IF(Table1_1[[#This Row],[Employee_Status]]="Active",1,0)</f>
        <v>1</v>
      </c>
      <c r="P59" s="2">
        <f ca="1">IF(Table1_1[[#This Row],[Employee_Status]]="Active",YEARFRAC(Table1_1[[#This Row],[Join_Date]],TODAY()),YEARFRAC(Table1_1[[#This Row],[Join_Date]],Table1_1[[#This Row],[Exit_Date]]))</f>
        <v>16.241666666666667</v>
      </c>
      <c r="Q59" s="3">
        <f ca="1">YEARFRAC(Table1_1[[#This Row],[Date_of_Birth]],TODAY())</f>
        <v>41.99722222222222</v>
      </c>
      <c r="R59">
        <f>YEAR(Table1_1[[#This Row],[Join_Date]])</f>
        <v>2009</v>
      </c>
      <c r="S59" t="str">
        <f>TEXT(Table1_1[[#This Row],[Join_Date]],"yyyy-mm")</f>
        <v>2009-11</v>
      </c>
      <c r="T59" t="str">
        <f>IF(Table1_1[[#This Row],[Exit_Date]]="","",YEAR(Table1_1[[#This Row],[Exit_Date]]))</f>
        <v/>
      </c>
      <c r="U59" t="str">
        <f>IF(Table1_1[[#This Row],[Exit_Date]]="","",TEXT(Table1_1[[#This Row],[Exit_Date]],"yyyy-mm"))</f>
        <v/>
      </c>
      <c r="V59">
        <f>IF(Table1_1[[#This Row],[Employment_Type]]="Contract",1,0)</f>
        <v>0</v>
      </c>
    </row>
    <row r="60" spans="1:22" x14ac:dyDescent="0.3">
      <c r="A60" t="s">
        <v>170</v>
      </c>
      <c r="B60" t="s">
        <v>171</v>
      </c>
      <c r="C60" t="s">
        <v>21</v>
      </c>
      <c r="D60" s="1">
        <v>35269</v>
      </c>
      <c r="E60" s="1">
        <v>44257</v>
      </c>
      <c r="F60" s="1"/>
      <c r="G60" t="s">
        <v>28</v>
      </c>
      <c r="H60" t="s">
        <v>16</v>
      </c>
      <c r="I60" t="s">
        <v>51</v>
      </c>
      <c r="J60" t="s">
        <v>18</v>
      </c>
      <c r="K60">
        <v>41000</v>
      </c>
      <c r="M60" t="str">
        <f>IF(Table1_1[[#This Row],[Exit_Date]]="","Active","Exited")</f>
        <v>Active</v>
      </c>
      <c r="N60">
        <f>IF(Table1_1[[#This Row],[Employee_Status]]="Exited",1,0)</f>
        <v>0</v>
      </c>
      <c r="O60">
        <f>IF(Table1_1[[#This Row],[Employee_Status]]="Active",1,0)</f>
        <v>1</v>
      </c>
      <c r="P60" s="2">
        <f ca="1">IF(Table1_1[[#This Row],[Employee_Status]]="Active",YEARFRAC(Table1_1[[#This Row],[Join_Date]],TODAY()),YEARFRAC(Table1_1[[#This Row],[Join_Date]],Table1_1[[#This Row],[Exit_Date]]))</f>
        <v>4.9333333333333336</v>
      </c>
      <c r="Q60" s="3">
        <f ca="1">YEARFRAC(Table1_1[[#This Row],[Date_of_Birth]],TODAY())</f>
        <v>29.541666666666668</v>
      </c>
      <c r="R60">
        <f>YEAR(Table1_1[[#This Row],[Join_Date]])</f>
        <v>2021</v>
      </c>
      <c r="S60" t="str">
        <f>TEXT(Table1_1[[#This Row],[Join_Date]],"yyyy-mm")</f>
        <v>2021-03</v>
      </c>
      <c r="T60" t="str">
        <f>IF(Table1_1[[#This Row],[Exit_Date]]="","",YEAR(Table1_1[[#This Row],[Exit_Date]]))</f>
        <v/>
      </c>
      <c r="U60" t="str">
        <f>IF(Table1_1[[#This Row],[Exit_Date]]="","",TEXT(Table1_1[[#This Row],[Exit_Date]],"yyyy-mm"))</f>
        <v/>
      </c>
      <c r="V60">
        <f>IF(Table1_1[[#This Row],[Employment_Type]]="Contract",1,0)</f>
        <v>0</v>
      </c>
    </row>
    <row r="61" spans="1:22" x14ac:dyDescent="0.3">
      <c r="A61" t="s">
        <v>172</v>
      </c>
      <c r="B61" t="s">
        <v>173</v>
      </c>
      <c r="C61" t="s">
        <v>14</v>
      </c>
      <c r="D61" s="1">
        <v>33833</v>
      </c>
      <c r="E61" s="1">
        <v>43374</v>
      </c>
      <c r="F61" s="1"/>
      <c r="G61" t="s">
        <v>33</v>
      </c>
      <c r="H61" t="s">
        <v>29</v>
      </c>
      <c r="I61" t="s">
        <v>17</v>
      </c>
      <c r="J61" t="s">
        <v>18</v>
      </c>
      <c r="K61">
        <v>92000</v>
      </c>
      <c r="M61" t="str">
        <f>IF(Table1_1[[#This Row],[Exit_Date]]="","Active","Exited")</f>
        <v>Active</v>
      </c>
      <c r="N61">
        <f>IF(Table1_1[[#This Row],[Employee_Status]]="Exited",1,0)</f>
        <v>0</v>
      </c>
      <c r="O61">
        <f>IF(Table1_1[[#This Row],[Employee_Status]]="Active",1,0)</f>
        <v>1</v>
      </c>
      <c r="P61" s="2">
        <f ca="1">IF(Table1_1[[#This Row],[Employee_Status]]="Active",YEARFRAC(Table1_1[[#This Row],[Join_Date]],TODAY()),YEARFRAC(Table1_1[[#This Row],[Join_Date]],Table1_1[[#This Row],[Exit_Date]]))</f>
        <v>7.3527777777777779</v>
      </c>
      <c r="Q61" s="3">
        <f ca="1">YEARFRAC(Table1_1[[#This Row],[Date_of_Birth]],TODAY())</f>
        <v>33.475000000000001</v>
      </c>
      <c r="R61">
        <f>YEAR(Table1_1[[#This Row],[Join_Date]])</f>
        <v>2018</v>
      </c>
      <c r="S61" t="str">
        <f>TEXT(Table1_1[[#This Row],[Join_Date]],"yyyy-mm")</f>
        <v>2018-10</v>
      </c>
      <c r="T61" t="str">
        <f>IF(Table1_1[[#This Row],[Exit_Date]]="","",YEAR(Table1_1[[#This Row],[Exit_Date]]))</f>
        <v/>
      </c>
      <c r="U61" t="str">
        <f>IF(Table1_1[[#This Row],[Exit_Date]]="","",TEXT(Table1_1[[#This Row],[Exit_Date]],"yyyy-mm"))</f>
        <v/>
      </c>
      <c r="V61">
        <f>IF(Table1_1[[#This Row],[Employment_Type]]="Contract",1,0)</f>
        <v>0</v>
      </c>
    </row>
    <row r="62" spans="1:22" x14ac:dyDescent="0.3">
      <c r="A62" t="s">
        <v>174</v>
      </c>
      <c r="B62" t="s">
        <v>175</v>
      </c>
      <c r="C62" t="s">
        <v>21</v>
      </c>
      <c r="D62" s="1">
        <v>36141</v>
      </c>
      <c r="E62" s="1">
        <v>44746</v>
      </c>
      <c r="F62" s="1"/>
      <c r="G62" t="s">
        <v>22</v>
      </c>
      <c r="H62" t="s">
        <v>16</v>
      </c>
      <c r="I62" t="s">
        <v>30</v>
      </c>
      <c r="J62" t="s">
        <v>48</v>
      </c>
      <c r="K62">
        <v>31000</v>
      </c>
      <c r="M62" t="str">
        <f>IF(Table1_1[[#This Row],[Exit_Date]]="","Active","Exited")</f>
        <v>Active</v>
      </c>
      <c r="N62">
        <f>IF(Table1_1[[#This Row],[Employee_Status]]="Exited",1,0)</f>
        <v>0</v>
      </c>
      <c r="O62">
        <f>IF(Table1_1[[#This Row],[Employee_Status]]="Active",1,0)</f>
        <v>1</v>
      </c>
      <c r="P62" s="2">
        <f ca="1">IF(Table1_1[[#This Row],[Employee_Status]]="Active",YEARFRAC(Table1_1[[#This Row],[Join_Date]],TODAY()),YEARFRAC(Table1_1[[#This Row],[Join_Date]],Table1_1[[#This Row],[Exit_Date]]))</f>
        <v>3.5944444444444446</v>
      </c>
      <c r="Q62" s="3">
        <f ca="1">YEARFRAC(Table1_1[[#This Row],[Date_of_Birth]],TODAY())</f>
        <v>27.155555555555555</v>
      </c>
      <c r="R62">
        <f>YEAR(Table1_1[[#This Row],[Join_Date]])</f>
        <v>2022</v>
      </c>
      <c r="S62" t="str">
        <f>TEXT(Table1_1[[#This Row],[Join_Date]],"yyyy-mm")</f>
        <v>2022-07</v>
      </c>
      <c r="T62" t="str">
        <f>IF(Table1_1[[#This Row],[Exit_Date]]="","",YEAR(Table1_1[[#This Row],[Exit_Date]]))</f>
        <v/>
      </c>
      <c r="U62" t="str">
        <f>IF(Table1_1[[#This Row],[Exit_Date]]="","",TEXT(Table1_1[[#This Row],[Exit_Date]],"yyyy-mm"))</f>
        <v/>
      </c>
      <c r="V62">
        <f>IF(Table1_1[[#This Row],[Employment_Type]]="Contract",1,0)</f>
        <v>1</v>
      </c>
    </row>
    <row r="63" spans="1:22" x14ac:dyDescent="0.3">
      <c r="A63" t="s">
        <v>176</v>
      </c>
      <c r="B63" t="s">
        <v>177</v>
      </c>
      <c r="C63" t="s">
        <v>14</v>
      </c>
      <c r="D63" s="1">
        <v>31925</v>
      </c>
      <c r="E63" s="1">
        <v>42020</v>
      </c>
      <c r="F63" s="1"/>
      <c r="G63" t="s">
        <v>43</v>
      </c>
      <c r="H63" t="s">
        <v>44</v>
      </c>
      <c r="I63" t="s">
        <v>57</v>
      </c>
      <c r="J63" t="s">
        <v>18</v>
      </c>
      <c r="K63">
        <v>118000</v>
      </c>
      <c r="M63" t="str">
        <f>IF(Table1_1[[#This Row],[Exit_Date]]="","Active","Exited")</f>
        <v>Active</v>
      </c>
      <c r="N63">
        <f>IF(Table1_1[[#This Row],[Employee_Status]]="Exited",1,0)</f>
        <v>0</v>
      </c>
      <c r="O63">
        <f>IF(Table1_1[[#This Row],[Employee_Status]]="Active",1,0)</f>
        <v>1</v>
      </c>
      <c r="P63" s="2">
        <f ca="1">IF(Table1_1[[#This Row],[Employee_Status]]="Active",YEARFRAC(Table1_1[[#This Row],[Join_Date]],TODAY()),YEARFRAC(Table1_1[[#This Row],[Join_Date]],Table1_1[[#This Row],[Exit_Date]]))</f>
        <v>11.061111111111112</v>
      </c>
      <c r="Q63" s="3">
        <f ca="1">YEARFRAC(Table1_1[[#This Row],[Date_of_Birth]],TODAY())</f>
        <v>38.694444444444443</v>
      </c>
      <c r="R63">
        <f>YEAR(Table1_1[[#This Row],[Join_Date]])</f>
        <v>2015</v>
      </c>
      <c r="S63" t="str">
        <f>TEXT(Table1_1[[#This Row],[Join_Date]],"yyyy-mm")</f>
        <v>2015-01</v>
      </c>
      <c r="T63" t="str">
        <f>IF(Table1_1[[#This Row],[Exit_Date]]="","",YEAR(Table1_1[[#This Row],[Exit_Date]]))</f>
        <v/>
      </c>
      <c r="U63" t="str">
        <f>IF(Table1_1[[#This Row],[Exit_Date]]="","",TEXT(Table1_1[[#This Row],[Exit_Date]],"yyyy-mm"))</f>
        <v/>
      </c>
      <c r="V63">
        <f>IF(Table1_1[[#This Row],[Employment_Type]]="Contract",1,0)</f>
        <v>0</v>
      </c>
    </row>
    <row r="64" spans="1:22" x14ac:dyDescent="0.3">
      <c r="A64" t="s">
        <v>178</v>
      </c>
      <c r="B64" t="s">
        <v>179</v>
      </c>
      <c r="C64" t="s">
        <v>21</v>
      </c>
      <c r="D64" s="1">
        <v>34396</v>
      </c>
      <c r="E64" s="1">
        <v>43717</v>
      </c>
      <c r="F64" s="1"/>
      <c r="G64" t="s">
        <v>28</v>
      </c>
      <c r="H64" t="s">
        <v>23</v>
      </c>
      <c r="I64" t="s">
        <v>85</v>
      </c>
      <c r="J64" t="s">
        <v>18</v>
      </c>
      <c r="K64">
        <v>70000</v>
      </c>
      <c r="M64" t="str">
        <f>IF(Table1_1[[#This Row],[Exit_Date]]="","Active","Exited")</f>
        <v>Active</v>
      </c>
      <c r="N64">
        <f>IF(Table1_1[[#This Row],[Employee_Status]]="Exited",1,0)</f>
        <v>0</v>
      </c>
      <c r="O64">
        <f>IF(Table1_1[[#This Row],[Employee_Status]]="Active",1,0)</f>
        <v>1</v>
      </c>
      <c r="P64" s="2">
        <f ca="1">IF(Table1_1[[#This Row],[Employee_Status]]="Active",YEARFRAC(Table1_1[[#This Row],[Join_Date]],TODAY()),YEARFRAC(Table1_1[[#This Row],[Join_Date]],Table1_1[[#This Row],[Exit_Date]]))</f>
        <v>6.4138888888888888</v>
      </c>
      <c r="Q64" s="3">
        <f ca="1">YEARFRAC(Table1_1[[#This Row],[Date_of_Birth]],TODAY())</f>
        <v>31.930555555555557</v>
      </c>
      <c r="R64">
        <f>YEAR(Table1_1[[#This Row],[Join_Date]])</f>
        <v>2019</v>
      </c>
      <c r="S64" t="str">
        <f>TEXT(Table1_1[[#This Row],[Join_Date]],"yyyy-mm")</f>
        <v>2019-09</v>
      </c>
      <c r="T64" t="str">
        <f>IF(Table1_1[[#This Row],[Exit_Date]]="","",YEAR(Table1_1[[#This Row],[Exit_Date]]))</f>
        <v/>
      </c>
      <c r="U64" t="str">
        <f>IF(Table1_1[[#This Row],[Exit_Date]]="","",TEXT(Table1_1[[#This Row],[Exit_Date]],"yyyy-mm"))</f>
        <v/>
      </c>
      <c r="V64">
        <f>IF(Table1_1[[#This Row],[Employment_Type]]="Contract",1,0)</f>
        <v>0</v>
      </c>
    </row>
    <row r="65" spans="1:22" x14ac:dyDescent="0.3">
      <c r="A65" t="s">
        <v>180</v>
      </c>
      <c r="B65" t="s">
        <v>181</v>
      </c>
      <c r="C65" t="s">
        <v>14</v>
      </c>
      <c r="D65" s="1">
        <v>33500</v>
      </c>
      <c r="E65" s="1">
        <v>43156</v>
      </c>
      <c r="F65" s="1">
        <v>44848</v>
      </c>
      <c r="G65" t="s">
        <v>15</v>
      </c>
      <c r="H65" t="s">
        <v>23</v>
      </c>
      <c r="I65" t="s">
        <v>45</v>
      </c>
      <c r="J65" t="s">
        <v>18</v>
      </c>
      <c r="K65">
        <v>64000</v>
      </c>
      <c r="L65" t="s">
        <v>52</v>
      </c>
      <c r="M65" t="str">
        <f>IF(Table1_1[[#This Row],[Exit_Date]]="","Active","Exited")</f>
        <v>Exited</v>
      </c>
      <c r="N65">
        <f>IF(Table1_1[[#This Row],[Employee_Status]]="Exited",1,0)</f>
        <v>1</v>
      </c>
      <c r="O65">
        <f>IF(Table1_1[[#This Row],[Employee_Status]]="Active",1,0)</f>
        <v>0</v>
      </c>
      <c r="P65" s="2">
        <f ca="1">IF(Table1_1[[#This Row],[Employee_Status]]="Active",YEARFRAC(Table1_1[[#This Row],[Join_Date]],TODAY()),YEARFRAC(Table1_1[[#This Row],[Join_Date]],Table1_1[[#This Row],[Exit_Date]]))</f>
        <v>4.6361111111111111</v>
      </c>
      <c r="Q65" s="3">
        <f ca="1">YEARFRAC(Table1_1[[#This Row],[Date_of_Birth]],TODAY())</f>
        <v>34.386111111111113</v>
      </c>
      <c r="R65">
        <f>YEAR(Table1_1[[#This Row],[Join_Date]])</f>
        <v>2018</v>
      </c>
      <c r="S65" t="str">
        <f>TEXT(Table1_1[[#This Row],[Join_Date]],"yyyy-mm")</f>
        <v>2018-02</v>
      </c>
      <c r="T65">
        <f>IF(Table1_1[[#This Row],[Exit_Date]]="","",YEAR(Table1_1[[#This Row],[Exit_Date]]))</f>
        <v>2022</v>
      </c>
      <c r="U65" t="str">
        <f>IF(Table1_1[[#This Row],[Exit_Date]]="","",TEXT(Table1_1[[#This Row],[Exit_Date]],"yyyy-mm"))</f>
        <v>2022-10</v>
      </c>
      <c r="V65">
        <f>IF(Table1_1[[#This Row],[Employment_Type]]="Contract",1,0)</f>
        <v>0</v>
      </c>
    </row>
    <row r="66" spans="1:22" x14ac:dyDescent="0.3">
      <c r="A66" t="s">
        <v>182</v>
      </c>
      <c r="B66" t="s">
        <v>183</v>
      </c>
      <c r="C66" t="s">
        <v>21</v>
      </c>
      <c r="D66" s="1">
        <v>33976</v>
      </c>
      <c r="E66" s="1">
        <v>43588</v>
      </c>
      <c r="F66" s="1"/>
      <c r="G66" t="s">
        <v>33</v>
      </c>
      <c r="H66" t="s">
        <v>16</v>
      </c>
      <c r="I66" t="s">
        <v>184</v>
      </c>
      <c r="J66" t="s">
        <v>18</v>
      </c>
      <c r="K66">
        <v>42000</v>
      </c>
      <c r="M66" t="str">
        <f>IF(Table1_1[[#This Row],[Exit_Date]]="","Active","Exited")</f>
        <v>Active</v>
      </c>
      <c r="N66">
        <f>IF(Table1_1[[#This Row],[Employee_Status]]="Exited",1,0)</f>
        <v>0</v>
      </c>
      <c r="O66">
        <f>IF(Table1_1[[#This Row],[Employee_Status]]="Active",1,0)</f>
        <v>1</v>
      </c>
      <c r="P66" s="2">
        <f ca="1">IF(Table1_1[[#This Row],[Employee_Status]]="Active",YEARFRAC(Table1_1[[#This Row],[Join_Date]],TODAY()),YEARFRAC(Table1_1[[#This Row],[Join_Date]],Table1_1[[#This Row],[Exit_Date]]))</f>
        <v>6.7638888888888893</v>
      </c>
      <c r="Q66" s="3">
        <f ca="1">YEARFRAC(Table1_1[[#This Row],[Date_of_Birth]],TODAY())</f>
        <v>33.086111111111109</v>
      </c>
      <c r="R66">
        <f>YEAR(Table1_1[[#This Row],[Join_Date]])</f>
        <v>2019</v>
      </c>
      <c r="S66" t="str">
        <f>TEXT(Table1_1[[#This Row],[Join_Date]],"yyyy-mm")</f>
        <v>2019-05</v>
      </c>
      <c r="T66" t="str">
        <f>IF(Table1_1[[#This Row],[Exit_Date]]="","",YEAR(Table1_1[[#This Row],[Exit_Date]]))</f>
        <v/>
      </c>
      <c r="U66" t="str">
        <f>IF(Table1_1[[#This Row],[Exit_Date]]="","",TEXT(Table1_1[[#This Row],[Exit_Date]],"yyyy-mm"))</f>
        <v/>
      </c>
      <c r="V66">
        <f>IF(Table1_1[[#This Row],[Employment_Type]]="Contract",1,0)</f>
        <v>0</v>
      </c>
    </row>
    <row r="67" spans="1:22" x14ac:dyDescent="0.3">
      <c r="A67" t="s">
        <v>185</v>
      </c>
      <c r="B67" t="s">
        <v>186</v>
      </c>
      <c r="C67" t="s">
        <v>14</v>
      </c>
      <c r="D67" s="1">
        <v>32309</v>
      </c>
      <c r="E67" s="1">
        <v>42590</v>
      </c>
      <c r="F67" s="1"/>
      <c r="G67" t="s">
        <v>28</v>
      </c>
      <c r="H67" t="s">
        <v>44</v>
      </c>
      <c r="I67" t="s">
        <v>30</v>
      </c>
      <c r="J67" t="s">
        <v>18</v>
      </c>
      <c r="K67">
        <v>112000</v>
      </c>
      <c r="M67" t="str">
        <f>IF(Table1_1[[#This Row],[Exit_Date]]="","Active","Exited")</f>
        <v>Active</v>
      </c>
      <c r="N67">
        <f>IF(Table1_1[[#This Row],[Employee_Status]]="Exited",1,0)</f>
        <v>0</v>
      </c>
      <c r="O67">
        <f>IF(Table1_1[[#This Row],[Employee_Status]]="Active",1,0)</f>
        <v>1</v>
      </c>
      <c r="P67" s="2">
        <f ca="1">IF(Table1_1[[#This Row],[Employee_Status]]="Active",YEARFRAC(Table1_1[[#This Row],[Join_Date]],TODAY()),YEARFRAC(Table1_1[[#This Row],[Join_Date]],Table1_1[[#This Row],[Exit_Date]]))</f>
        <v>9.5</v>
      </c>
      <c r="Q67" s="3">
        <f ca="1">YEARFRAC(Table1_1[[#This Row],[Date_of_Birth]],TODAY())</f>
        <v>37.647222222222226</v>
      </c>
      <c r="R67">
        <f>YEAR(Table1_1[[#This Row],[Join_Date]])</f>
        <v>2016</v>
      </c>
      <c r="S67" t="str">
        <f>TEXT(Table1_1[[#This Row],[Join_Date]],"yyyy-mm")</f>
        <v>2016-08</v>
      </c>
      <c r="T67" t="str">
        <f>IF(Table1_1[[#This Row],[Exit_Date]]="","",YEAR(Table1_1[[#This Row],[Exit_Date]]))</f>
        <v/>
      </c>
      <c r="U67" t="str">
        <f>IF(Table1_1[[#This Row],[Exit_Date]]="","",TEXT(Table1_1[[#This Row],[Exit_Date]],"yyyy-mm"))</f>
        <v/>
      </c>
      <c r="V67">
        <f>IF(Table1_1[[#This Row],[Employment_Type]]="Contract",1,0)</f>
        <v>0</v>
      </c>
    </row>
    <row r="68" spans="1:22" x14ac:dyDescent="0.3">
      <c r="A68" t="s">
        <v>187</v>
      </c>
      <c r="B68" t="s">
        <v>188</v>
      </c>
      <c r="C68" t="s">
        <v>21</v>
      </c>
      <c r="D68" s="1">
        <v>35758</v>
      </c>
      <c r="E68" s="1">
        <v>44451</v>
      </c>
      <c r="F68" s="1"/>
      <c r="G68" t="s">
        <v>22</v>
      </c>
      <c r="H68" t="s">
        <v>16</v>
      </c>
      <c r="I68" t="s">
        <v>189</v>
      </c>
      <c r="J68" t="s">
        <v>18</v>
      </c>
      <c r="K68">
        <v>38000</v>
      </c>
      <c r="M68" t="str">
        <f>IF(Table1_1[[#This Row],[Exit_Date]]="","Active","Exited")</f>
        <v>Active</v>
      </c>
      <c r="N68">
        <f>IF(Table1_1[[#This Row],[Employee_Status]]="Exited",1,0)</f>
        <v>0</v>
      </c>
      <c r="O68">
        <f>IF(Table1_1[[#This Row],[Employee_Status]]="Active",1,0)</f>
        <v>1</v>
      </c>
      <c r="P68" s="2">
        <f ca="1">IF(Table1_1[[#This Row],[Employee_Status]]="Active",YEARFRAC(Table1_1[[#This Row],[Join_Date]],TODAY()),YEARFRAC(Table1_1[[#This Row],[Join_Date]],Table1_1[[#This Row],[Exit_Date]]))</f>
        <v>4.4055555555555559</v>
      </c>
      <c r="Q68" s="3">
        <f ca="1">YEARFRAC(Table1_1[[#This Row],[Date_of_Birth]],TODAY())</f>
        <v>28.205555555555556</v>
      </c>
      <c r="R68">
        <f>YEAR(Table1_1[[#This Row],[Join_Date]])</f>
        <v>2021</v>
      </c>
      <c r="S68" t="str">
        <f>TEXT(Table1_1[[#This Row],[Join_Date]],"yyyy-mm")</f>
        <v>2021-09</v>
      </c>
      <c r="T68" t="str">
        <f>IF(Table1_1[[#This Row],[Exit_Date]]="","",YEAR(Table1_1[[#This Row],[Exit_Date]]))</f>
        <v/>
      </c>
      <c r="U68" t="str">
        <f>IF(Table1_1[[#This Row],[Exit_Date]]="","",TEXT(Table1_1[[#This Row],[Exit_Date]],"yyyy-mm"))</f>
        <v/>
      </c>
      <c r="V68">
        <f>IF(Table1_1[[#This Row],[Employment_Type]]="Contract",1,0)</f>
        <v>0</v>
      </c>
    </row>
    <row r="69" spans="1:22" x14ac:dyDescent="0.3">
      <c r="A69" t="s">
        <v>190</v>
      </c>
      <c r="B69" t="s">
        <v>191</v>
      </c>
      <c r="C69" t="s">
        <v>14</v>
      </c>
      <c r="D69" s="1">
        <v>32965</v>
      </c>
      <c r="E69" s="1">
        <v>42904</v>
      </c>
      <c r="F69" s="1"/>
      <c r="G69" t="s">
        <v>43</v>
      </c>
      <c r="H69" t="s">
        <v>29</v>
      </c>
      <c r="I69" t="s">
        <v>192</v>
      </c>
      <c r="J69" t="s">
        <v>18</v>
      </c>
      <c r="K69">
        <v>85000</v>
      </c>
      <c r="M69" t="str">
        <f>IF(Table1_1[[#This Row],[Exit_Date]]="","Active","Exited")</f>
        <v>Active</v>
      </c>
      <c r="N69">
        <f>IF(Table1_1[[#This Row],[Employee_Status]]="Exited",1,0)</f>
        <v>0</v>
      </c>
      <c r="O69">
        <f>IF(Table1_1[[#This Row],[Employee_Status]]="Active",1,0)</f>
        <v>1</v>
      </c>
      <c r="P69" s="2">
        <f ca="1">IF(Table1_1[[#This Row],[Employee_Status]]="Active",YEARFRAC(Table1_1[[#This Row],[Join_Date]],TODAY()),YEARFRAC(Table1_1[[#This Row],[Join_Date]],Table1_1[[#This Row],[Exit_Date]]))</f>
        <v>8.6388888888888893</v>
      </c>
      <c r="Q69" s="3">
        <f ca="1">YEARFRAC(Table1_1[[#This Row],[Date_of_Birth]],TODAY())</f>
        <v>35.85</v>
      </c>
      <c r="R69">
        <f>YEAR(Table1_1[[#This Row],[Join_Date]])</f>
        <v>2017</v>
      </c>
      <c r="S69" t="str">
        <f>TEXT(Table1_1[[#This Row],[Join_Date]],"yyyy-mm")</f>
        <v>2017-06</v>
      </c>
      <c r="T69" t="str">
        <f>IF(Table1_1[[#This Row],[Exit_Date]]="","",YEAR(Table1_1[[#This Row],[Exit_Date]]))</f>
        <v/>
      </c>
      <c r="U69" t="str">
        <f>IF(Table1_1[[#This Row],[Exit_Date]]="","",TEXT(Table1_1[[#This Row],[Exit_Date]],"yyyy-mm"))</f>
        <v/>
      </c>
      <c r="V69">
        <f>IF(Table1_1[[#This Row],[Employment_Type]]="Contract",1,0)</f>
        <v>0</v>
      </c>
    </row>
    <row r="70" spans="1:22" x14ac:dyDescent="0.3">
      <c r="A70" t="s">
        <v>193</v>
      </c>
      <c r="B70" t="s">
        <v>194</v>
      </c>
      <c r="C70" t="s">
        <v>21</v>
      </c>
      <c r="D70" s="1">
        <v>34940</v>
      </c>
      <c r="E70" s="1">
        <v>43841</v>
      </c>
      <c r="F70" s="1"/>
      <c r="G70" t="s">
        <v>33</v>
      </c>
      <c r="H70" t="s">
        <v>23</v>
      </c>
      <c r="I70" t="s">
        <v>57</v>
      </c>
      <c r="J70" t="s">
        <v>18</v>
      </c>
      <c r="K70">
        <v>60000</v>
      </c>
      <c r="M70" t="str">
        <f>IF(Table1_1[[#This Row],[Exit_Date]]="","Active","Exited")</f>
        <v>Active</v>
      </c>
      <c r="N70">
        <f>IF(Table1_1[[#This Row],[Employee_Status]]="Exited",1,0)</f>
        <v>0</v>
      </c>
      <c r="O70">
        <f>IF(Table1_1[[#This Row],[Employee_Status]]="Active",1,0)</f>
        <v>1</v>
      </c>
      <c r="P70" s="2">
        <f ca="1">IF(Table1_1[[#This Row],[Employee_Status]]="Active",YEARFRAC(Table1_1[[#This Row],[Join_Date]],TODAY()),YEARFRAC(Table1_1[[#This Row],[Join_Date]],Table1_1[[#This Row],[Exit_Date]]))</f>
        <v>6.0750000000000002</v>
      </c>
      <c r="Q70" s="3">
        <f ca="1">YEARFRAC(Table1_1[[#This Row],[Date_of_Birth]],TODAY())</f>
        <v>30.441666666666666</v>
      </c>
      <c r="R70">
        <f>YEAR(Table1_1[[#This Row],[Join_Date]])</f>
        <v>2020</v>
      </c>
      <c r="S70" t="str">
        <f>TEXT(Table1_1[[#This Row],[Join_Date]],"yyyy-mm")</f>
        <v>2020-01</v>
      </c>
      <c r="T70" t="str">
        <f>IF(Table1_1[[#This Row],[Exit_Date]]="","",YEAR(Table1_1[[#This Row],[Exit_Date]]))</f>
        <v/>
      </c>
      <c r="U70" t="str">
        <f>IF(Table1_1[[#This Row],[Exit_Date]]="","",TEXT(Table1_1[[#This Row],[Exit_Date]],"yyyy-mm"))</f>
        <v/>
      </c>
      <c r="V70">
        <f>IF(Table1_1[[#This Row],[Employment_Type]]="Contract",1,0)</f>
        <v>0</v>
      </c>
    </row>
    <row r="71" spans="1:22" x14ac:dyDescent="0.3">
      <c r="A71" t="s">
        <v>195</v>
      </c>
      <c r="B71" t="s">
        <v>196</v>
      </c>
      <c r="C71" t="s">
        <v>14</v>
      </c>
      <c r="D71" s="1">
        <v>34617</v>
      </c>
      <c r="E71" s="1">
        <v>43904</v>
      </c>
      <c r="F71" s="1"/>
      <c r="G71" t="s">
        <v>28</v>
      </c>
      <c r="H71" t="s">
        <v>16</v>
      </c>
      <c r="I71" t="s">
        <v>197</v>
      </c>
      <c r="J71" t="s">
        <v>18</v>
      </c>
      <c r="K71">
        <v>45000</v>
      </c>
      <c r="M71" t="str">
        <f>IF(Table1_1[[#This Row],[Exit_Date]]="","Active","Exited")</f>
        <v>Active</v>
      </c>
      <c r="N71">
        <f>IF(Table1_1[[#This Row],[Employee_Status]]="Exited",1,0)</f>
        <v>0</v>
      </c>
      <c r="O71">
        <f>IF(Table1_1[[#This Row],[Employee_Status]]="Active",1,0)</f>
        <v>1</v>
      </c>
      <c r="P71" s="2">
        <f ca="1">IF(Table1_1[[#This Row],[Employee_Status]]="Active",YEARFRAC(Table1_1[[#This Row],[Join_Date]],TODAY()),YEARFRAC(Table1_1[[#This Row],[Join_Date]],Table1_1[[#This Row],[Exit_Date]]))</f>
        <v>5.9</v>
      </c>
      <c r="Q71" s="3">
        <f ca="1">YEARFRAC(Table1_1[[#This Row],[Date_of_Birth]],TODAY())</f>
        <v>31.327777777777779</v>
      </c>
      <c r="R71">
        <f>YEAR(Table1_1[[#This Row],[Join_Date]])</f>
        <v>2020</v>
      </c>
      <c r="S71" t="str">
        <f>TEXT(Table1_1[[#This Row],[Join_Date]],"yyyy-mm")</f>
        <v>2020-03</v>
      </c>
      <c r="T71" t="str">
        <f>IF(Table1_1[[#This Row],[Exit_Date]]="","",YEAR(Table1_1[[#This Row],[Exit_Date]]))</f>
        <v/>
      </c>
      <c r="U71" t="str">
        <f>IF(Table1_1[[#This Row],[Exit_Date]]="","",TEXT(Table1_1[[#This Row],[Exit_Date]],"yyyy-mm"))</f>
        <v/>
      </c>
      <c r="V71">
        <f>IF(Table1_1[[#This Row],[Employment_Type]]="Contract",1,0)</f>
        <v>0</v>
      </c>
    </row>
    <row r="72" spans="1:22" x14ac:dyDescent="0.3">
      <c r="A72" t="s">
        <v>198</v>
      </c>
      <c r="B72" t="s">
        <v>199</v>
      </c>
      <c r="C72" t="s">
        <v>21</v>
      </c>
      <c r="D72" s="1">
        <v>35952</v>
      </c>
      <c r="E72" s="1">
        <v>44612</v>
      </c>
      <c r="F72" s="1"/>
      <c r="G72" t="s">
        <v>22</v>
      </c>
      <c r="H72" t="s">
        <v>16</v>
      </c>
      <c r="I72" t="s">
        <v>24</v>
      </c>
      <c r="J72" t="s">
        <v>48</v>
      </c>
      <c r="K72">
        <v>32000</v>
      </c>
      <c r="M72" t="str">
        <f>IF(Table1_1[[#This Row],[Exit_Date]]="","Active","Exited")</f>
        <v>Active</v>
      </c>
      <c r="N72">
        <f>IF(Table1_1[[#This Row],[Employee_Status]]="Exited",1,0)</f>
        <v>0</v>
      </c>
      <c r="O72">
        <f>IF(Table1_1[[#This Row],[Employee_Status]]="Active",1,0)</f>
        <v>1</v>
      </c>
      <c r="P72" s="2">
        <f ca="1">IF(Table1_1[[#This Row],[Employee_Status]]="Active",YEARFRAC(Table1_1[[#This Row],[Join_Date]],TODAY()),YEARFRAC(Table1_1[[#This Row],[Join_Date]],Table1_1[[#This Row],[Exit_Date]]))</f>
        <v>3.9666666666666668</v>
      </c>
      <c r="Q72" s="3">
        <f ca="1">YEARFRAC(Table1_1[[#This Row],[Date_of_Birth]],TODAY())</f>
        <v>27.672222222222221</v>
      </c>
      <c r="R72">
        <f>YEAR(Table1_1[[#This Row],[Join_Date]])</f>
        <v>2022</v>
      </c>
      <c r="S72" t="str">
        <f>TEXT(Table1_1[[#This Row],[Join_Date]],"yyyy-mm")</f>
        <v>2022-02</v>
      </c>
      <c r="T72" t="str">
        <f>IF(Table1_1[[#This Row],[Exit_Date]]="","",YEAR(Table1_1[[#This Row],[Exit_Date]]))</f>
        <v/>
      </c>
      <c r="U72" t="str">
        <f>IF(Table1_1[[#This Row],[Exit_Date]]="","",TEXT(Table1_1[[#This Row],[Exit_Date]],"yyyy-mm"))</f>
        <v/>
      </c>
      <c r="V72">
        <f>IF(Table1_1[[#This Row],[Employment_Type]]="Contract",1,0)</f>
        <v>1</v>
      </c>
    </row>
    <row r="73" spans="1:22" x14ac:dyDescent="0.3">
      <c r="A73" t="s">
        <v>200</v>
      </c>
      <c r="B73" t="s">
        <v>201</v>
      </c>
      <c r="C73" t="s">
        <v>14</v>
      </c>
      <c r="D73" s="1">
        <v>32529</v>
      </c>
      <c r="E73" s="1">
        <v>42461</v>
      </c>
      <c r="F73" s="1"/>
      <c r="G73" t="s">
        <v>43</v>
      </c>
      <c r="H73" t="s">
        <v>23</v>
      </c>
      <c r="I73" t="s">
        <v>202</v>
      </c>
      <c r="J73" t="s">
        <v>18</v>
      </c>
      <c r="K73">
        <v>68000</v>
      </c>
      <c r="M73" t="str">
        <f>IF(Table1_1[[#This Row],[Exit_Date]]="","Active","Exited")</f>
        <v>Active</v>
      </c>
      <c r="N73">
        <f>IF(Table1_1[[#This Row],[Employee_Status]]="Exited",1,0)</f>
        <v>0</v>
      </c>
      <c r="O73">
        <f>IF(Table1_1[[#This Row],[Employee_Status]]="Active",1,0)</f>
        <v>1</v>
      </c>
      <c r="P73" s="2">
        <f ca="1">IF(Table1_1[[#This Row],[Employee_Status]]="Active",YEARFRAC(Table1_1[[#This Row],[Join_Date]],TODAY()),YEARFRAC(Table1_1[[#This Row],[Join_Date]],Table1_1[[#This Row],[Exit_Date]]))</f>
        <v>9.8527777777777779</v>
      </c>
      <c r="Q73" s="3">
        <f ca="1">YEARFRAC(Table1_1[[#This Row],[Date_of_Birth]],TODAY())</f>
        <v>37.047222222222224</v>
      </c>
      <c r="R73">
        <f>YEAR(Table1_1[[#This Row],[Join_Date]])</f>
        <v>2016</v>
      </c>
      <c r="S73" t="str">
        <f>TEXT(Table1_1[[#This Row],[Join_Date]],"yyyy-mm")</f>
        <v>2016-04</v>
      </c>
      <c r="T73" t="str">
        <f>IF(Table1_1[[#This Row],[Exit_Date]]="","",YEAR(Table1_1[[#This Row],[Exit_Date]]))</f>
        <v/>
      </c>
      <c r="U73" t="str">
        <f>IF(Table1_1[[#This Row],[Exit_Date]]="","",TEXT(Table1_1[[#This Row],[Exit_Date]],"yyyy-mm"))</f>
        <v/>
      </c>
      <c r="V73">
        <f>IF(Table1_1[[#This Row],[Employment_Type]]="Contract",1,0)</f>
        <v>0</v>
      </c>
    </row>
    <row r="74" spans="1:22" x14ac:dyDescent="0.3">
      <c r="A74" t="s">
        <v>203</v>
      </c>
      <c r="B74" t="s">
        <v>204</v>
      </c>
      <c r="C74" t="s">
        <v>21</v>
      </c>
      <c r="D74" s="1">
        <v>35198</v>
      </c>
      <c r="E74" s="1">
        <v>44021</v>
      </c>
      <c r="F74" s="1"/>
      <c r="G74" t="s">
        <v>33</v>
      </c>
      <c r="H74" t="s">
        <v>16</v>
      </c>
      <c r="I74" t="s">
        <v>85</v>
      </c>
      <c r="J74" t="s">
        <v>18</v>
      </c>
      <c r="K74">
        <v>43000</v>
      </c>
      <c r="M74" t="str">
        <f>IF(Table1_1[[#This Row],[Exit_Date]]="","Active","Exited")</f>
        <v>Active</v>
      </c>
      <c r="N74">
        <f>IF(Table1_1[[#This Row],[Employee_Status]]="Exited",1,0)</f>
        <v>0</v>
      </c>
      <c r="O74">
        <f>IF(Table1_1[[#This Row],[Employee_Status]]="Active",1,0)</f>
        <v>1</v>
      </c>
      <c r="P74" s="2">
        <f ca="1">IF(Table1_1[[#This Row],[Employee_Status]]="Active",YEARFRAC(Table1_1[[#This Row],[Join_Date]],TODAY()),YEARFRAC(Table1_1[[#This Row],[Join_Date]],Table1_1[[#This Row],[Exit_Date]]))</f>
        <v>5.5805555555555557</v>
      </c>
      <c r="Q74" s="3">
        <f ca="1">YEARFRAC(Table1_1[[#This Row],[Date_of_Birth]],TODAY())</f>
        <v>29.736111111111111</v>
      </c>
      <c r="R74">
        <f>YEAR(Table1_1[[#This Row],[Join_Date]])</f>
        <v>2020</v>
      </c>
      <c r="S74" t="str">
        <f>TEXT(Table1_1[[#This Row],[Join_Date]],"yyyy-mm")</f>
        <v>2020-07</v>
      </c>
      <c r="T74" t="str">
        <f>IF(Table1_1[[#This Row],[Exit_Date]]="","",YEAR(Table1_1[[#This Row],[Exit_Date]]))</f>
        <v/>
      </c>
      <c r="U74" t="str">
        <f>IF(Table1_1[[#This Row],[Exit_Date]]="","",TEXT(Table1_1[[#This Row],[Exit_Date]],"yyyy-mm"))</f>
        <v/>
      </c>
      <c r="V74">
        <f>IF(Table1_1[[#This Row],[Employment_Type]]="Contract",1,0)</f>
        <v>0</v>
      </c>
    </row>
    <row r="75" spans="1:22" x14ac:dyDescent="0.3">
      <c r="A75" t="s">
        <v>205</v>
      </c>
      <c r="B75" t="s">
        <v>206</v>
      </c>
      <c r="C75" t="s">
        <v>14</v>
      </c>
      <c r="D75" s="1">
        <v>31141</v>
      </c>
      <c r="E75" s="1">
        <v>40668</v>
      </c>
      <c r="F75" s="1"/>
      <c r="G75" t="s">
        <v>28</v>
      </c>
      <c r="H75" t="s">
        <v>88</v>
      </c>
      <c r="I75" t="s">
        <v>62</v>
      </c>
      <c r="J75" t="s">
        <v>18</v>
      </c>
      <c r="K75">
        <v>175000</v>
      </c>
      <c r="M75" t="str">
        <f>IF(Table1_1[[#This Row],[Exit_Date]]="","Active","Exited")</f>
        <v>Active</v>
      </c>
      <c r="N75">
        <f>IF(Table1_1[[#This Row],[Employee_Status]]="Exited",1,0)</f>
        <v>0</v>
      </c>
      <c r="O75">
        <f>IF(Table1_1[[#This Row],[Employee_Status]]="Active",1,0)</f>
        <v>1</v>
      </c>
      <c r="P75" s="2">
        <f ca="1">IF(Table1_1[[#This Row],[Employee_Status]]="Active",YEARFRAC(Table1_1[[#This Row],[Join_Date]],TODAY()),YEARFRAC(Table1_1[[#This Row],[Join_Date]],Table1_1[[#This Row],[Exit_Date]]))</f>
        <v>14.758333333333333</v>
      </c>
      <c r="Q75" s="3">
        <f ca="1">YEARFRAC(Table1_1[[#This Row],[Date_of_Birth]],TODAY())</f>
        <v>40.844444444444441</v>
      </c>
      <c r="R75">
        <f>YEAR(Table1_1[[#This Row],[Join_Date]])</f>
        <v>2011</v>
      </c>
      <c r="S75" t="str">
        <f>TEXT(Table1_1[[#This Row],[Join_Date]],"yyyy-mm")</f>
        <v>2011-05</v>
      </c>
      <c r="T75" t="str">
        <f>IF(Table1_1[[#This Row],[Exit_Date]]="","",YEAR(Table1_1[[#This Row],[Exit_Date]]))</f>
        <v/>
      </c>
      <c r="U75" t="str">
        <f>IF(Table1_1[[#This Row],[Exit_Date]]="","",TEXT(Table1_1[[#This Row],[Exit_Date]],"yyyy-mm"))</f>
        <v/>
      </c>
      <c r="V75">
        <f>IF(Table1_1[[#This Row],[Employment_Type]]="Contract",1,0)</f>
        <v>0</v>
      </c>
    </row>
    <row r="76" spans="1:22" x14ac:dyDescent="0.3">
      <c r="A76" t="s">
        <v>207</v>
      </c>
      <c r="B76" t="s">
        <v>208</v>
      </c>
      <c r="C76" t="s">
        <v>21</v>
      </c>
      <c r="D76" s="1">
        <v>36213</v>
      </c>
      <c r="E76" s="1">
        <v>44774</v>
      </c>
      <c r="F76" s="1"/>
      <c r="G76" t="s">
        <v>22</v>
      </c>
      <c r="H76" t="s">
        <v>16</v>
      </c>
      <c r="I76" t="s">
        <v>209</v>
      </c>
      <c r="J76" t="s">
        <v>48</v>
      </c>
      <c r="K76">
        <v>30000</v>
      </c>
      <c r="M76" t="str">
        <f>IF(Table1_1[[#This Row],[Exit_Date]]="","Active","Exited")</f>
        <v>Active</v>
      </c>
      <c r="N76">
        <f>IF(Table1_1[[#This Row],[Employee_Status]]="Exited",1,0)</f>
        <v>0</v>
      </c>
      <c r="O76">
        <f>IF(Table1_1[[#This Row],[Employee_Status]]="Active",1,0)</f>
        <v>1</v>
      </c>
      <c r="P76" s="2">
        <f ca="1">IF(Table1_1[[#This Row],[Employee_Status]]="Active",YEARFRAC(Table1_1[[#This Row],[Join_Date]],TODAY()),YEARFRAC(Table1_1[[#This Row],[Join_Date]],Table1_1[[#This Row],[Exit_Date]]))</f>
        <v>3.5194444444444444</v>
      </c>
      <c r="Q76" s="3">
        <f ca="1">YEARFRAC(Table1_1[[#This Row],[Date_of_Birth]],TODAY())</f>
        <v>26.961111111111112</v>
      </c>
      <c r="R76">
        <f>YEAR(Table1_1[[#This Row],[Join_Date]])</f>
        <v>2022</v>
      </c>
      <c r="S76" t="str">
        <f>TEXT(Table1_1[[#This Row],[Join_Date]],"yyyy-mm")</f>
        <v>2022-08</v>
      </c>
      <c r="T76" t="str">
        <f>IF(Table1_1[[#This Row],[Exit_Date]]="","",YEAR(Table1_1[[#This Row],[Exit_Date]]))</f>
        <v/>
      </c>
      <c r="U76" t="str">
        <f>IF(Table1_1[[#This Row],[Exit_Date]]="","",TEXT(Table1_1[[#This Row],[Exit_Date]],"yyyy-mm"))</f>
        <v/>
      </c>
      <c r="V76">
        <f>IF(Table1_1[[#This Row],[Employment_Type]]="Contract",1,0)</f>
        <v>1</v>
      </c>
    </row>
    <row r="77" spans="1:22" x14ac:dyDescent="0.3">
      <c r="A77" t="s">
        <v>210</v>
      </c>
      <c r="B77" t="s">
        <v>211</v>
      </c>
      <c r="C77" t="s">
        <v>14</v>
      </c>
      <c r="D77" s="1">
        <v>33856</v>
      </c>
      <c r="E77" s="1">
        <v>43480</v>
      </c>
      <c r="F77" s="1"/>
      <c r="G77" t="s">
        <v>43</v>
      </c>
      <c r="H77" t="s">
        <v>16</v>
      </c>
      <c r="I77" t="s">
        <v>212</v>
      </c>
      <c r="J77" t="s">
        <v>18</v>
      </c>
      <c r="K77">
        <v>46000</v>
      </c>
      <c r="M77" t="str">
        <f>IF(Table1_1[[#This Row],[Exit_Date]]="","Active","Exited")</f>
        <v>Active</v>
      </c>
      <c r="N77">
        <f>IF(Table1_1[[#This Row],[Employee_Status]]="Exited",1,0)</f>
        <v>0</v>
      </c>
      <c r="O77">
        <f>IF(Table1_1[[#This Row],[Employee_Status]]="Active",1,0)</f>
        <v>1</v>
      </c>
      <c r="P77" s="2">
        <f ca="1">IF(Table1_1[[#This Row],[Employee_Status]]="Active",YEARFRAC(Table1_1[[#This Row],[Join_Date]],TODAY()),YEARFRAC(Table1_1[[#This Row],[Join_Date]],Table1_1[[#This Row],[Exit_Date]]))</f>
        <v>7.0638888888888891</v>
      </c>
      <c r="Q77" s="3">
        <f ca="1">YEARFRAC(Table1_1[[#This Row],[Date_of_Birth]],TODAY())</f>
        <v>33.413888888888891</v>
      </c>
      <c r="R77">
        <f>YEAR(Table1_1[[#This Row],[Join_Date]])</f>
        <v>2019</v>
      </c>
      <c r="S77" t="str">
        <f>TEXT(Table1_1[[#This Row],[Join_Date]],"yyyy-mm")</f>
        <v>2019-01</v>
      </c>
      <c r="T77" t="str">
        <f>IF(Table1_1[[#This Row],[Exit_Date]]="","",YEAR(Table1_1[[#This Row],[Exit_Date]]))</f>
        <v/>
      </c>
      <c r="U77" t="str">
        <f>IF(Table1_1[[#This Row],[Exit_Date]]="","",TEXT(Table1_1[[#This Row],[Exit_Date]],"yyyy-mm"))</f>
        <v/>
      </c>
      <c r="V77">
        <f>IF(Table1_1[[#This Row],[Employment_Type]]="Contract",1,0)</f>
        <v>0</v>
      </c>
    </row>
    <row r="78" spans="1:22" x14ac:dyDescent="0.3">
      <c r="A78" t="s">
        <v>213</v>
      </c>
      <c r="B78" t="s">
        <v>214</v>
      </c>
      <c r="C78" t="s">
        <v>21</v>
      </c>
      <c r="D78" s="1">
        <v>34686</v>
      </c>
      <c r="E78" s="1">
        <v>43644</v>
      </c>
      <c r="F78" s="1"/>
      <c r="G78" t="s">
        <v>33</v>
      </c>
      <c r="H78" t="s">
        <v>29</v>
      </c>
      <c r="I78" t="s">
        <v>40</v>
      </c>
      <c r="J78" t="s">
        <v>18</v>
      </c>
      <c r="K78">
        <v>90000</v>
      </c>
      <c r="M78" t="str">
        <f>IF(Table1_1[[#This Row],[Exit_Date]]="","Active","Exited")</f>
        <v>Active</v>
      </c>
      <c r="N78">
        <f>IF(Table1_1[[#This Row],[Employee_Status]]="Exited",1,0)</f>
        <v>0</v>
      </c>
      <c r="O78">
        <f>IF(Table1_1[[#This Row],[Employee_Status]]="Active",1,0)</f>
        <v>1</v>
      </c>
      <c r="P78" s="2">
        <f ca="1">IF(Table1_1[[#This Row],[Employee_Status]]="Active",YEARFRAC(Table1_1[[#This Row],[Join_Date]],TODAY()),YEARFRAC(Table1_1[[#This Row],[Join_Date]],Table1_1[[#This Row],[Exit_Date]]))</f>
        <v>6.6111111111111107</v>
      </c>
      <c r="Q78" s="3">
        <f ca="1">YEARFRAC(Table1_1[[#This Row],[Date_of_Birth]],TODAY())</f>
        <v>31.138888888888889</v>
      </c>
      <c r="R78">
        <f>YEAR(Table1_1[[#This Row],[Join_Date]])</f>
        <v>2019</v>
      </c>
      <c r="S78" t="str">
        <f>TEXT(Table1_1[[#This Row],[Join_Date]],"yyyy-mm")</f>
        <v>2019-06</v>
      </c>
      <c r="T78" t="str">
        <f>IF(Table1_1[[#This Row],[Exit_Date]]="","",YEAR(Table1_1[[#This Row],[Exit_Date]]))</f>
        <v/>
      </c>
      <c r="U78" t="str">
        <f>IF(Table1_1[[#This Row],[Exit_Date]]="","",TEXT(Table1_1[[#This Row],[Exit_Date]],"yyyy-mm"))</f>
        <v/>
      </c>
      <c r="V78">
        <f>IF(Table1_1[[#This Row],[Employment_Type]]="Contract",1,0)</f>
        <v>0</v>
      </c>
    </row>
    <row r="79" spans="1:22" x14ac:dyDescent="0.3">
      <c r="A79" t="s">
        <v>215</v>
      </c>
      <c r="B79" t="s">
        <v>216</v>
      </c>
      <c r="C79" t="s">
        <v>14</v>
      </c>
      <c r="D79" s="1">
        <v>32205</v>
      </c>
      <c r="E79" s="1">
        <v>42319</v>
      </c>
      <c r="F79" s="1"/>
      <c r="G79" t="s">
        <v>28</v>
      </c>
      <c r="H79" t="s">
        <v>23</v>
      </c>
      <c r="I79" t="s">
        <v>125</v>
      </c>
      <c r="J79" t="s">
        <v>18</v>
      </c>
      <c r="K79">
        <v>74000</v>
      </c>
      <c r="M79" t="str">
        <f>IF(Table1_1[[#This Row],[Exit_Date]]="","Active","Exited")</f>
        <v>Active</v>
      </c>
      <c r="N79">
        <f>IF(Table1_1[[#This Row],[Employee_Status]]="Exited",1,0)</f>
        <v>0</v>
      </c>
      <c r="O79">
        <f>IF(Table1_1[[#This Row],[Employee_Status]]="Active",1,0)</f>
        <v>1</v>
      </c>
      <c r="P79" s="2">
        <f ca="1">IF(Table1_1[[#This Row],[Employee_Status]]="Active",YEARFRAC(Table1_1[[#This Row],[Join_Date]],TODAY()),YEARFRAC(Table1_1[[#This Row],[Join_Date]],Table1_1[[#This Row],[Exit_Date]]))</f>
        <v>10.241666666666667</v>
      </c>
      <c r="Q79" s="3">
        <f ca="1">YEARFRAC(Table1_1[[#This Row],[Date_of_Birth]],TODAY())</f>
        <v>37.930555555555557</v>
      </c>
      <c r="R79">
        <f>YEAR(Table1_1[[#This Row],[Join_Date]])</f>
        <v>2015</v>
      </c>
      <c r="S79" t="str">
        <f>TEXT(Table1_1[[#This Row],[Join_Date]],"yyyy-mm")</f>
        <v>2015-11</v>
      </c>
      <c r="T79" t="str">
        <f>IF(Table1_1[[#This Row],[Exit_Date]]="","",YEAR(Table1_1[[#This Row],[Exit_Date]]))</f>
        <v/>
      </c>
      <c r="U79" t="str">
        <f>IF(Table1_1[[#This Row],[Exit_Date]]="","",TEXT(Table1_1[[#This Row],[Exit_Date]],"yyyy-mm"))</f>
        <v/>
      </c>
      <c r="V79">
        <f>IF(Table1_1[[#This Row],[Employment_Type]]="Contract",1,0)</f>
        <v>0</v>
      </c>
    </row>
    <row r="80" spans="1:22" x14ac:dyDescent="0.3">
      <c r="A80" t="s">
        <v>217</v>
      </c>
      <c r="B80" t="s">
        <v>218</v>
      </c>
      <c r="C80" t="s">
        <v>21</v>
      </c>
      <c r="D80" s="1">
        <v>35638</v>
      </c>
      <c r="E80" s="1">
        <v>44486</v>
      </c>
      <c r="F80" s="1"/>
      <c r="G80" t="s">
        <v>22</v>
      </c>
      <c r="H80" t="s">
        <v>16</v>
      </c>
      <c r="I80" t="s">
        <v>45</v>
      </c>
      <c r="J80" t="s">
        <v>18</v>
      </c>
      <c r="K80">
        <v>40000</v>
      </c>
      <c r="M80" t="str">
        <f>IF(Table1_1[[#This Row],[Exit_Date]]="","Active","Exited")</f>
        <v>Active</v>
      </c>
      <c r="N80">
        <f>IF(Table1_1[[#This Row],[Employee_Status]]="Exited",1,0)</f>
        <v>0</v>
      </c>
      <c r="O80">
        <f>IF(Table1_1[[#This Row],[Employee_Status]]="Active",1,0)</f>
        <v>1</v>
      </c>
      <c r="P80" s="2">
        <f ca="1">IF(Table1_1[[#This Row],[Employee_Status]]="Active",YEARFRAC(Table1_1[[#This Row],[Join_Date]],TODAY()),YEARFRAC(Table1_1[[#This Row],[Join_Date]],Table1_1[[#This Row],[Exit_Date]]))</f>
        <v>4.3083333333333336</v>
      </c>
      <c r="Q80" s="3">
        <f ca="1">YEARFRAC(Table1_1[[#This Row],[Date_of_Birth]],TODAY())</f>
        <v>28.530555555555555</v>
      </c>
      <c r="R80">
        <f>YEAR(Table1_1[[#This Row],[Join_Date]])</f>
        <v>2021</v>
      </c>
      <c r="S80" t="str">
        <f>TEXT(Table1_1[[#This Row],[Join_Date]],"yyyy-mm")</f>
        <v>2021-10</v>
      </c>
      <c r="T80" t="str">
        <f>IF(Table1_1[[#This Row],[Exit_Date]]="","",YEAR(Table1_1[[#This Row],[Exit_Date]]))</f>
        <v/>
      </c>
      <c r="U80" t="str">
        <f>IF(Table1_1[[#This Row],[Exit_Date]]="","",TEXT(Table1_1[[#This Row],[Exit_Date]],"yyyy-mm"))</f>
        <v/>
      </c>
      <c r="V80">
        <f>IF(Table1_1[[#This Row],[Employment_Type]]="Contract",1,0)</f>
        <v>0</v>
      </c>
    </row>
    <row r="81" spans="1:22" x14ac:dyDescent="0.3">
      <c r="A81" t="s">
        <v>219</v>
      </c>
      <c r="B81" t="s">
        <v>220</v>
      </c>
      <c r="C81" t="s">
        <v>14</v>
      </c>
      <c r="D81" s="1">
        <v>31413</v>
      </c>
      <c r="E81" s="1">
        <v>40941</v>
      </c>
      <c r="F81" s="1"/>
      <c r="G81" t="s">
        <v>43</v>
      </c>
      <c r="H81" t="s">
        <v>29</v>
      </c>
      <c r="I81" t="s">
        <v>221</v>
      </c>
      <c r="J81" t="s">
        <v>18</v>
      </c>
      <c r="K81">
        <v>88000</v>
      </c>
      <c r="M81" t="str">
        <f>IF(Table1_1[[#This Row],[Exit_Date]]="","Active","Exited")</f>
        <v>Active</v>
      </c>
      <c r="N81">
        <f>IF(Table1_1[[#This Row],[Employee_Status]]="Exited",1,0)</f>
        <v>0</v>
      </c>
      <c r="O81">
        <f>IF(Table1_1[[#This Row],[Employee_Status]]="Active",1,0)</f>
        <v>1</v>
      </c>
      <c r="P81" s="2">
        <f ca="1">IF(Table1_1[[#This Row],[Employee_Status]]="Active",YEARFRAC(Table1_1[[#This Row],[Join_Date]],TODAY()),YEARFRAC(Table1_1[[#This Row],[Join_Date]],Table1_1[[#This Row],[Exit_Date]]))</f>
        <v>14.016666666666667</v>
      </c>
      <c r="Q81" s="3">
        <f ca="1">YEARFRAC(Table1_1[[#This Row],[Date_of_Birth]],TODAY())</f>
        <v>40.102777777777774</v>
      </c>
      <c r="R81">
        <f>YEAR(Table1_1[[#This Row],[Join_Date]])</f>
        <v>2012</v>
      </c>
      <c r="S81" t="str">
        <f>TEXT(Table1_1[[#This Row],[Join_Date]],"yyyy-mm")</f>
        <v>2012-02</v>
      </c>
      <c r="T81" t="str">
        <f>IF(Table1_1[[#This Row],[Exit_Date]]="","",YEAR(Table1_1[[#This Row],[Exit_Date]]))</f>
        <v/>
      </c>
      <c r="U81" t="str">
        <f>IF(Table1_1[[#This Row],[Exit_Date]]="","",TEXT(Table1_1[[#This Row],[Exit_Date]],"yyyy-mm"))</f>
        <v/>
      </c>
      <c r="V81">
        <f>IF(Table1_1[[#This Row],[Employment_Type]]="Contract",1,0)</f>
        <v>0</v>
      </c>
    </row>
    <row r="82" spans="1:22" x14ac:dyDescent="0.3">
      <c r="A82" t="s">
        <v>222</v>
      </c>
      <c r="B82" t="s">
        <v>223</v>
      </c>
      <c r="C82" t="s">
        <v>21</v>
      </c>
      <c r="D82" s="1">
        <v>34104</v>
      </c>
      <c r="E82" s="1">
        <v>43563</v>
      </c>
      <c r="F82" s="1"/>
      <c r="G82" t="s">
        <v>33</v>
      </c>
      <c r="H82" t="s">
        <v>23</v>
      </c>
      <c r="I82" t="s">
        <v>17</v>
      </c>
      <c r="J82" t="s">
        <v>18</v>
      </c>
      <c r="K82">
        <v>62000</v>
      </c>
      <c r="M82" t="str">
        <f>IF(Table1_1[[#This Row],[Exit_Date]]="","Active","Exited")</f>
        <v>Active</v>
      </c>
      <c r="N82">
        <f>IF(Table1_1[[#This Row],[Employee_Status]]="Exited",1,0)</f>
        <v>0</v>
      </c>
      <c r="O82">
        <f>IF(Table1_1[[#This Row],[Employee_Status]]="Active",1,0)</f>
        <v>1</v>
      </c>
      <c r="P82" s="2">
        <f ca="1">IF(Table1_1[[#This Row],[Employee_Status]]="Active",YEARFRAC(Table1_1[[#This Row],[Join_Date]],TODAY()),YEARFRAC(Table1_1[[#This Row],[Join_Date]],Table1_1[[#This Row],[Exit_Date]]))</f>
        <v>6.833333333333333</v>
      </c>
      <c r="Q82" s="3">
        <f ca="1">YEARFRAC(Table1_1[[#This Row],[Date_of_Birth]],TODAY())</f>
        <v>32.730555555555554</v>
      </c>
      <c r="R82">
        <f>YEAR(Table1_1[[#This Row],[Join_Date]])</f>
        <v>2019</v>
      </c>
      <c r="S82" t="str">
        <f>TEXT(Table1_1[[#This Row],[Join_Date]],"yyyy-mm")</f>
        <v>2019-04</v>
      </c>
      <c r="T82" t="str">
        <f>IF(Table1_1[[#This Row],[Exit_Date]]="","",YEAR(Table1_1[[#This Row],[Exit_Date]]))</f>
        <v/>
      </c>
      <c r="U82" t="str">
        <f>IF(Table1_1[[#This Row],[Exit_Date]]="","",TEXT(Table1_1[[#This Row],[Exit_Date]],"yyyy-mm"))</f>
        <v/>
      </c>
      <c r="V82">
        <f>IF(Table1_1[[#This Row],[Employment_Type]]="Contract",1,0)</f>
        <v>0</v>
      </c>
    </row>
    <row r="83" spans="1:22" x14ac:dyDescent="0.3">
      <c r="A83" t="s">
        <v>224</v>
      </c>
      <c r="B83" t="s">
        <v>225</v>
      </c>
      <c r="C83" t="s">
        <v>14</v>
      </c>
      <c r="D83" s="1">
        <v>33196</v>
      </c>
      <c r="E83" s="1">
        <v>42900</v>
      </c>
      <c r="F83" s="1"/>
      <c r="G83" t="s">
        <v>28</v>
      </c>
      <c r="H83" t="s">
        <v>29</v>
      </c>
      <c r="I83" t="s">
        <v>34</v>
      </c>
      <c r="J83" t="s">
        <v>18</v>
      </c>
      <c r="K83">
        <v>97000</v>
      </c>
      <c r="M83" t="str">
        <f>IF(Table1_1[[#This Row],[Exit_Date]]="","Active","Exited")</f>
        <v>Active</v>
      </c>
      <c r="N83">
        <f>IF(Table1_1[[#This Row],[Employee_Status]]="Exited",1,0)</f>
        <v>0</v>
      </c>
      <c r="O83">
        <f>IF(Table1_1[[#This Row],[Employee_Status]]="Active",1,0)</f>
        <v>1</v>
      </c>
      <c r="P83" s="2">
        <f ca="1">IF(Table1_1[[#This Row],[Employee_Status]]="Active",YEARFRAC(Table1_1[[#This Row],[Join_Date]],TODAY()),YEARFRAC(Table1_1[[#This Row],[Join_Date]],Table1_1[[#This Row],[Exit_Date]]))</f>
        <v>8.65</v>
      </c>
      <c r="Q83" s="3">
        <f ca="1">YEARFRAC(Table1_1[[#This Row],[Date_of_Birth]],TODAY())</f>
        <v>35.219444444444441</v>
      </c>
      <c r="R83">
        <f>YEAR(Table1_1[[#This Row],[Join_Date]])</f>
        <v>2017</v>
      </c>
      <c r="S83" t="str">
        <f>TEXT(Table1_1[[#This Row],[Join_Date]],"yyyy-mm")</f>
        <v>2017-06</v>
      </c>
      <c r="T83" t="str">
        <f>IF(Table1_1[[#This Row],[Exit_Date]]="","",YEAR(Table1_1[[#This Row],[Exit_Date]]))</f>
        <v/>
      </c>
      <c r="U83" t="str">
        <f>IF(Table1_1[[#This Row],[Exit_Date]]="","",TEXT(Table1_1[[#This Row],[Exit_Date]],"yyyy-mm"))</f>
        <v/>
      </c>
      <c r="V83">
        <f>IF(Table1_1[[#This Row],[Employment_Type]]="Contract",1,0)</f>
        <v>0</v>
      </c>
    </row>
    <row r="84" spans="1:22" x14ac:dyDescent="0.3">
      <c r="A84" t="s">
        <v>226</v>
      </c>
      <c r="B84" t="s">
        <v>227</v>
      </c>
      <c r="C84" t="s">
        <v>21</v>
      </c>
      <c r="D84" s="1">
        <v>36013</v>
      </c>
      <c r="E84" s="1">
        <v>44564</v>
      </c>
      <c r="F84" s="1"/>
      <c r="G84" t="s">
        <v>22</v>
      </c>
      <c r="H84" t="s">
        <v>16</v>
      </c>
      <c r="I84" t="s">
        <v>228</v>
      </c>
      <c r="J84" t="s">
        <v>48</v>
      </c>
      <c r="K84">
        <v>31000</v>
      </c>
      <c r="M84" t="str">
        <f>IF(Table1_1[[#This Row],[Exit_Date]]="","Active","Exited")</f>
        <v>Active</v>
      </c>
      <c r="N84">
        <f>IF(Table1_1[[#This Row],[Employee_Status]]="Exited",1,0)</f>
        <v>0</v>
      </c>
      <c r="O84">
        <f>IF(Table1_1[[#This Row],[Employee_Status]]="Active",1,0)</f>
        <v>1</v>
      </c>
      <c r="P84" s="2">
        <f ca="1">IF(Table1_1[[#This Row],[Employee_Status]]="Active",YEARFRAC(Table1_1[[#This Row],[Join_Date]],TODAY()),YEARFRAC(Table1_1[[#This Row],[Join_Date]],Table1_1[[#This Row],[Exit_Date]]))</f>
        <v>4.0972222222222223</v>
      </c>
      <c r="Q84" s="3">
        <f ca="1">YEARFRAC(Table1_1[[#This Row],[Date_of_Birth]],TODAY())</f>
        <v>27.505555555555556</v>
      </c>
      <c r="R84">
        <f>YEAR(Table1_1[[#This Row],[Join_Date]])</f>
        <v>2022</v>
      </c>
      <c r="S84" t="str">
        <f>TEXT(Table1_1[[#This Row],[Join_Date]],"yyyy-mm")</f>
        <v>2022-01</v>
      </c>
      <c r="T84" t="str">
        <f>IF(Table1_1[[#This Row],[Exit_Date]]="","",YEAR(Table1_1[[#This Row],[Exit_Date]]))</f>
        <v/>
      </c>
      <c r="U84" t="str">
        <f>IF(Table1_1[[#This Row],[Exit_Date]]="","",TEXT(Table1_1[[#This Row],[Exit_Date]],"yyyy-mm"))</f>
        <v/>
      </c>
      <c r="V84">
        <f>IF(Table1_1[[#This Row],[Employment_Type]]="Contract",1,0)</f>
        <v>1</v>
      </c>
    </row>
    <row r="85" spans="1:22" x14ac:dyDescent="0.3">
      <c r="A85" t="s">
        <v>229</v>
      </c>
      <c r="B85" t="s">
        <v>230</v>
      </c>
      <c r="C85" t="s">
        <v>14</v>
      </c>
      <c r="D85" s="1">
        <v>31820</v>
      </c>
      <c r="E85" s="1">
        <v>41891</v>
      </c>
      <c r="F85" s="1"/>
      <c r="G85" t="s">
        <v>43</v>
      </c>
      <c r="H85" t="s">
        <v>44</v>
      </c>
      <c r="I85" t="s">
        <v>197</v>
      </c>
      <c r="J85" t="s">
        <v>18</v>
      </c>
      <c r="K85">
        <v>120000</v>
      </c>
      <c r="M85" t="str">
        <f>IF(Table1_1[[#This Row],[Exit_Date]]="","Active","Exited")</f>
        <v>Active</v>
      </c>
      <c r="N85">
        <f>IF(Table1_1[[#This Row],[Employee_Status]]="Exited",1,0)</f>
        <v>0</v>
      </c>
      <c r="O85">
        <f>IF(Table1_1[[#This Row],[Employee_Status]]="Active",1,0)</f>
        <v>1</v>
      </c>
      <c r="P85" s="2">
        <f ca="1">IF(Table1_1[[#This Row],[Employee_Status]]="Active",YEARFRAC(Table1_1[[#This Row],[Join_Date]],TODAY()),YEARFRAC(Table1_1[[#This Row],[Join_Date]],Table1_1[[#This Row],[Exit_Date]]))</f>
        <v>11.41388888888889</v>
      </c>
      <c r="Q85" s="3">
        <f ca="1">YEARFRAC(Table1_1[[#This Row],[Date_of_Birth]],TODAY())</f>
        <v>38.988888888888887</v>
      </c>
      <c r="R85">
        <f>YEAR(Table1_1[[#This Row],[Join_Date]])</f>
        <v>2014</v>
      </c>
      <c r="S85" t="str">
        <f>TEXT(Table1_1[[#This Row],[Join_Date]],"yyyy-mm")</f>
        <v>2014-09</v>
      </c>
      <c r="T85" t="str">
        <f>IF(Table1_1[[#This Row],[Exit_Date]]="","",YEAR(Table1_1[[#This Row],[Exit_Date]]))</f>
        <v/>
      </c>
      <c r="U85" t="str">
        <f>IF(Table1_1[[#This Row],[Exit_Date]]="","",TEXT(Table1_1[[#This Row],[Exit_Date]],"yyyy-mm"))</f>
        <v/>
      </c>
      <c r="V85">
        <f>IF(Table1_1[[#This Row],[Employment_Type]]="Contract",1,0)</f>
        <v>0</v>
      </c>
    </row>
    <row r="86" spans="1:22" x14ac:dyDescent="0.3">
      <c r="A86" t="s">
        <v>231</v>
      </c>
      <c r="B86" t="s">
        <v>232</v>
      </c>
      <c r="C86" t="s">
        <v>21</v>
      </c>
      <c r="D86" s="1">
        <v>34817</v>
      </c>
      <c r="E86" s="1">
        <v>44002</v>
      </c>
      <c r="F86" s="1"/>
      <c r="G86" t="s">
        <v>33</v>
      </c>
      <c r="H86" t="s">
        <v>16</v>
      </c>
      <c r="I86" t="s">
        <v>233</v>
      </c>
      <c r="J86" t="s">
        <v>18</v>
      </c>
      <c r="K86">
        <v>41000</v>
      </c>
      <c r="M86" t="str">
        <f>IF(Table1_1[[#This Row],[Exit_Date]]="","Active","Exited")</f>
        <v>Active</v>
      </c>
      <c r="N86">
        <f>IF(Table1_1[[#This Row],[Employee_Status]]="Exited",1,0)</f>
        <v>0</v>
      </c>
      <c r="O86">
        <f>IF(Table1_1[[#This Row],[Employee_Status]]="Active",1,0)</f>
        <v>1</v>
      </c>
      <c r="P86" s="2">
        <f ca="1">IF(Table1_1[[#This Row],[Employee_Status]]="Active",YEARFRAC(Table1_1[[#This Row],[Join_Date]],TODAY()),YEARFRAC(Table1_1[[#This Row],[Join_Date]],Table1_1[[#This Row],[Exit_Date]]))</f>
        <v>5.6333333333333337</v>
      </c>
      <c r="Q86" s="3">
        <f ca="1">YEARFRAC(Table1_1[[#This Row],[Date_of_Birth]],TODAY())</f>
        <v>30.777777777777779</v>
      </c>
      <c r="R86">
        <f>YEAR(Table1_1[[#This Row],[Join_Date]])</f>
        <v>2020</v>
      </c>
      <c r="S86" t="str">
        <f>TEXT(Table1_1[[#This Row],[Join_Date]],"yyyy-mm")</f>
        <v>2020-06</v>
      </c>
      <c r="T86" t="str">
        <f>IF(Table1_1[[#This Row],[Exit_Date]]="","",YEAR(Table1_1[[#This Row],[Exit_Date]]))</f>
        <v/>
      </c>
      <c r="U86" t="str">
        <f>IF(Table1_1[[#This Row],[Exit_Date]]="","",TEXT(Table1_1[[#This Row],[Exit_Date]],"yyyy-mm"))</f>
        <v/>
      </c>
      <c r="V86">
        <f>IF(Table1_1[[#This Row],[Employment_Type]]="Contract",1,0)</f>
        <v>0</v>
      </c>
    </row>
    <row r="87" spans="1:22" x14ac:dyDescent="0.3">
      <c r="A87" t="s">
        <v>234</v>
      </c>
      <c r="B87" t="s">
        <v>235</v>
      </c>
      <c r="C87" t="s">
        <v>14</v>
      </c>
      <c r="D87" s="1">
        <v>32696</v>
      </c>
      <c r="E87" s="1">
        <v>42370</v>
      </c>
      <c r="F87" s="1"/>
      <c r="G87" t="s">
        <v>28</v>
      </c>
      <c r="H87" t="s">
        <v>23</v>
      </c>
      <c r="I87" t="s">
        <v>71</v>
      </c>
      <c r="J87" t="s">
        <v>18</v>
      </c>
      <c r="K87">
        <v>72000</v>
      </c>
      <c r="M87" t="str">
        <f>IF(Table1_1[[#This Row],[Exit_Date]]="","Active","Exited")</f>
        <v>Active</v>
      </c>
      <c r="N87">
        <f>IF(Table1_1[[#This Row],[Employee_Status]]="Exited",1,0)</f>
        <v>0</v>
      </c>
      <c r="O87">
        <f>IF(Table1_1[[#This Row],[Employee_Status]]="Active",1,0)</f>
        <v>1</v>
      </c>
      <c r="P87" s="2">
        <f ca="1">IF(Table1_1[[#This Row],[Employee_Status]]="Active",YEARFRAC(Table1_1[[#This Row],[Join_Date]],TODAY()),YEARFRAC(Table1_1[[#This Row],[Join_Date]],Table1_1[[#This Row],[Exit_Date]]))</f>
        <v>10.102777777777778</v>
      </c>
      <c r="Q87" s="3">
        <f ca="1">YEARFRAC(Table1_1[[#This Row],[Date_of_Birth]],TODAY())</f>
        <v>36.586111111111109</v>
      </c>
      <c r="R87">
        <f>YEAR(Table1_1[[#This Row],[Join_Date]])</f>
        <v>2016</v>
      </c>
      <c r="S87" t="str">
        <f>TEXT(Table1_1[[#This Row],[Join_Date]],"yyyy-mm")</f>
        <v>2016-01</v>
      </c>
      <c r="T87" t="str">
        <f>IF(Table1_1[[#This Row],[Exit_Date]]="","",YEAR(Table1_1[[#This Row],[Exit_Date]]))</f>
        <v/>
      </c>
      <c r="U87" t="str">
        <f>IF(Table1_1[[#This Row],[Exit_Date]]="","",TEXT(Table1_1[[#This Row],[Exit_Date]],"yyyy-mm"))</f>
        <v/>
      </c>
      <c r="V87">
        <f>IF(Table1_1[[#This Row],[Employment_Type]]="Contract",1,0)</f>
        <v>0</v>
      </c>
    </row>
    <row r="88" spans="1:22" x14ac:dyDescent="0.3">
      <c r="A88" t="s">
        <v>236</v>
      </c>
      <c r="B88" t="s">
        <v>237</v>
      </c>
      <c r="C88" t="s">
        <v>21</v>
      </c>
      <c r="D88" s="1">
        <v>35133</v>
      </c>
      <c r="E88" s="1">
        <v>44054</v>
      </c>
      <c r="F88" s="1"/>
      <c r="G88" t="s">
        <v>22</v>
      </c>
      <c r="H88" t="s">
        <v>23</v>
      </c>
      <c r="I88" t="s">
        <v>51</v>
      </c>
      <c r="J88" t="s">
        <v>18</v>
      </c>
      <c r="K88">
        <v>53000</v>
      </c>
      <c r="M88" t="str">
        <f>IF(Table1_1[[#This Row],[Exit_Date]]="","Active","Exited")</f>
        <v>Active</v>
      </c>
      <c r="N88">
        <f>IF(Table1_1[[#This Row],[Employee_Status]]="Exited",1,0)</f>
        <v>0</v>
      </c>
      <c r="O88">
        <f>IF(Table1_1[[#This Row],[Employee_Status]]="Active",1,0)</f>
        <v>1</v>
      </c>
      <c r="P88" s="2">
        <f ca="1">IF(Table1_1[[#This Row],[Employee_Status]]="Active",YEARFRAC(Table1_1[[#This Row],[Join_Date]],TODAY()),YEARFRAC(Table1_1[[#This Row],[Join_Date]],Table1_1[[#This Row],[Exit_Date]]))</f>
        <v>5.4916666666666663</v>
      </c>
      <c r="Q88" s="3">
        <f ca="1">YEARFRAC(Table1_1[[#This Row],[Date_of_Birth]],TODAY())</f>
        <v>29.913888888888888</v>
      </c>
      <c r="R88">
        <f>YEAR(Table1_1[[#This Row],[Join_Date]])</f>
        <v>2020</v>
      </c>
      <c r="S88" t="str">
        <f>TEXT(Table1_1[[#This Row],[Join_Date]],"yyyy-mm")</f>
        <v>2020-08</v>
      </c>
      <c r="T88" t="str">
        <f>IF(Table1_1[[#This Row],[Exit_Date]]="","",YEAR(Table1_1[[#This Row],[Exit_Date]]))</f>
        <v/>
      </c>
      <c r="U88" t="str">
        <f>IF(Table1_1[[#This Row],[Exit_Date]]="","",TEXT(Table1_1[[#This Row],[Exit_Date]],"yyyy-mm"))</f>
        <v/>
      </c>
      <c r="V88">
        <f>IF(Table1_1[[#This Row],[Employment_Type]]="Contract",1,0)</f>
        <v>0</v>
      </c>
    </row>
    <row r="89" spans="1:22" x14ac:dyDescent="0.3">
      <c r="A89" t="s">
        <v>238</v>
      </c>
      <c r="B89" t="s">
        <v>239</v>
      </c>
      <c r="C89" t="s">
        <v>14</v>
      </c>
      <c r="D89" s="1">
        <v>33541</v>
      </c>
      <c r="E89" s="1">
        <v>43145</v>
      </c>
      <c r="F89" s="1"/>
      <c r="G89" t="s">
        <v>43</v>
      </c>
      <c r="H89" t="s">
        <v>16</v>
      </c>
      <c r="I89" t="s">
        <v>240</v>
      </c>
      <c r="J89" t="s">
        <v>18</v>
      </c>
      <c r="K89">
        <v>48000</v>
      </c>
      <c r="M89" t="str">
        <f>IF(Table1_1[[#This Row],[Exit_Date]]="","Active","Exited")</f>
        <v>Active</v>
      </c>
      <c r="N89">
        <f>IF(Table1_1[[#This Row],[Employee_Status]]="Exited",1,0)</f>
        <v>0</v>
      </c>
      <c r="O89">
        <f>IF(Table1_1[[#This Row],[Employee_Status]]="Active",1,0)</f>
        <v>1</v>
      </c>
      <c r="P89" s="2">
        <f ca="1">IF(Table1_1[[#This Row],[Employee_Status]]="Active",YEARFRAC(Table1_1[[#This Row],[Join_Date]],TODAY()),YEARFRAC(Table1_1[[#This Row],[Join_Date]],Table1_1[[#This Row],[Exit_Date]]))</f>
        <v>7.9833333333333334</v>
      </c>
      <c r="Q89" s="3">
        <f ca="1">YEARFRAC(Table1_1[[#This Row],[Date_of_Birth]],TODAY())</f>
        <v>34.272222222222226</v>
      </c>
      <c r="R89">
        <f>YEAR(Table1_1[[#This Row],[Join_Date]])</f>
        <v>2018</v>
      </c>
      <c r="S89" t="str">
        <f>TEXT(Table1_1[[#This Row],[Join_Date]],"yyyy-mm")</f>
        <v>2018-02</v>
      </c>
      <c r="T89" t="str">
        <f>IF(Table1_1[[#This Row],[Exit_Date]]="","",YEAR(Table1_1[[#This Row],[Exit_Date]]))</f>
        <v/>
      </c>
      <c r="U89" t="str">
        <f>IF(Table1_1[[#This Row],[Exit_Date]]="","",TEXT(Table1_1[[#This Row],[Exit_Date]],"yyyy-mm"))</f>
        <v/>
      </c>
      <c r="V89">
        <f>IF(Table1_1[[#This Row],[Employment_Type]]="Contract",1,0)</f>
        <v>0</v>
      </c>
    </row>
    <row r="90" spans="1:22" x14ac:dyDescent="0.3">
      <c r="A90" t="s">
        <v>241</v>
      </c>
      <c r="B90" t="s">
        <v>242</v>
      </c>
      <c r="C90" t="s">
        <v>21</v>
      </c>
      <c r="D90" s="1">
        <v>34351</v>
      </c>
      <c r="E90" s="1">
        <v>43622</v>
      </c>
      <c r="F90" s="1"/>
      <c r="G90" t="s">
        <v>33</v>
      </c>
      <c r="H90" t="s">
        <v>29</v>
      </c>
      <c r="I90" t="s">
        <v>120</v>
      </c>
      <c r="J90" t="s">
        <v>18</v>
      </c>
      <c r="K90">
        <v>92000</v>
      </c>
      <c r="M90" t="str">
        <f>IF(Table1_1[[#This Row],[Exit_Date]]="","Active","Exited")</f>
        <v>Active</v>
      </c>
      <c r="N90">
        <f>IF(Table1_1[[#This Row],[Employee_Status]]="Exited",1,0)</f>
        <v>0</v>
      </c>
      <c r="O90">
        <f>IF(Table1_1[[#This Row],[Employee_Status]]="Active",1,0)</f>
        <v>1</v>
      </c>
      <c r="P90" s="2">
        <f ca="1">IF(Table1_1[[#This Row],[Employee_Status]]="Active",YEARFRAC(Table1_1[[#This Row],[Join_Date]],TODAY()),YEARFRAC(Table1_1[[#This Row],[Join_Date]],Table1_1[[#This Row],[Exit_Date]]))</f>
        <v>6.6722222222222225</v>
      </c>
      <c r="Q90" s="3">
        <f ca="1">YEARFRAC(Table1_1[[#This Row],[Date_of_Birth]],TODAY())</f>
        <v>32.05833333333333</v>
      </c>
      <c r="R90">
        <f>YEAR(Table1_1[[#This Row],[Join_Date]])</f>
        <v>2019</v>
      </c>
      <c r="S90" t="str">
        <f>TEXT(Table1_1[[#This Row],[Join_Date]],"yyyy-mm")</f>
        <v>2019-06</v>
      </c>
      <c r="T90" t="str">
        <f>IF(Table1_1[[#This Row],[Exit_Date]]="","",YEAR(Table1_1[[#This Row],[Exit_Date]]))</f>
        <v/>
      </c>
      <c r="U90" t="str">
        <f>IF(Table1_1[[#This Row],[Exit_Date]]="","",TEXT(Table1_1[[#This Row],[Exit_Date]],"yyyy-mm"))</f>
        <v/>
      </c>
      <c r="V90">
        <f>IF(Table1_1[[#This Row],[Employment_Type]]="Contract",1,0)</f>
        <v>0</v>
      </c>
    </row>
    <row r="91" spans="1:22" x14ac:dyDescent="0.3">
      <c r="A91" t="s">
        <v>243</v>
      </c>
      <c r="B91" t="s">
        <v>244</v>
      </c>
      <c r="C91" t="s">
        <v>14</v>
      </c>
      <c r="D91" s="1">
        <v>31172</v>
      </c>
      <c r="E91" s="1">
        <v>40605</v>
      </c>
      <c r="F91" s="1"/>
      <c r="G91" t="s">
        <v>28</v>
      </c>
      <c r="H91" t="s">
        <v>88</v>
      </c>
      <c r="I91" t="s">
        <v>245</v>
      </c>
      <c r="J91" t="s">
        <v>18</v>
      </c>
      <c r="K91">
        <v>168000</v>
      </c>
      <c r="M91" t="str">
        <f>IF(Table1_1[[#This Row],[Exit_Date]]="","Active","Exited")</f>
        <v>Active</v>
      </c>
      <c r="N91">
        <f>IF(Table1_1[[#This Row],[Employee_Status]]="Exited",1,0)</f>
        <v>0</v>
      </c>
      <c r="O91">
        <f>IF(Table1_1[[#This Row],[Employee_Status]]="Active",1,0)</f>
        <v>1</v>
      </c>
      <c r="P91" s="2">
        <f ca="1">IF(Table1_1[[#This Row],[Employee_Status]]="Active",YEARFRAC(Table1_1[[#This Row],[Join_Date]],TODAY()),YEARFRAC(Table1_1[[#This Row],[Join_Date]],Table1_1[[#This Row],[Exit_Date]]))</f>
        <v>14.930555555555555</v>
      </c>
      <c r="Q91" s="3">
        <f ca="1">YEARFRAC(Table1_1[[#This Row],[Date_of_Birth]],TODAY())</f>
        <v>40.758333333333333</v>
      </c>
      <c r="R91">
        <f>YEAR(Table1_1[[#This Row],[Join_Date]])</f>
        <v>2011</v>
      </c>
      <c r="S91" t="str">
        <f>TEXT(Table1_1[[#This Row],[Join_Date]],"yyyy-mm")</f>
        <v>2011-03</v>
      </c>
      <c r="T91" t="str">
        <f>IF(Table1_1[[#This Row],[Exit_Date]]="","",YEAR(Table1_1[[#This Row],[Exit_Date]]))</f>
        <v/>
      </c>
      <c r="U91" t="str">
        <f>IF(Table1_1[[#This Row],[Exit_Date]]="","",TEXT(Table1_1[[#This Row],[Exit_Date]],"yyyy-mm"))</f>
        <v/>
      </c>
      <c r="V91">
        <f>IF(Table1_1[[#This Row],[Employment_Type]]="Contract",1,0)</f>
        <v>0</v>
      </c>
    </row>
    <row r="92" spans="1:22" x14ac:dyDescent="0.3">
      <c r="A92" t="s">
        <v>246</v>
      </c>
      <c r="B92" t="s">
        <v>247</v>
      </c>
      <c r="C92" t="s">
        <v>21</v>
      </c>
      <c r="D92" s="1">
        <v>36426</v>
      </c>
      <c r="E92" s="1">
        <v>44805</v>
      </c>
      <c r="F92" s="1"/>
      <c r="G92" t="s">
        <v>22</v>
      </c>
      <c r="H92" t="s">
        <v>16</v>
      </c>
      <c r="I92" t="s">
        <v>57</v>
      </c>
      <c r="J92" t="s">
        <v>48</v>
      </c>
      <c r="K92">
        <v>30000</v>
      </c>
      <c r="M92" t="str">
        <f>IF(Table1_1[[#This Row],[Exit_Date]]="","Active","Exited")</f>
        <v>Active</v>
      </c>
      <c r="N92">
        <f>IF(Table1_1[[#This Row],[Employee_Status]]="Exited",1,0)</f>
        <v>0</v>
      </c>
      <c r="O92">
        <f>IF(Table1_1[[#This Row],[Employee_Status]]="Active",1,0)</f>
        <v>1</v>
      </c>
      <c r="P92" s="2">
        <f ca="1">IF(Table1_1[[#This Row],[Employee_Status]]="Active",YEARFRAC(Table1_1[[#This Row],[Join_Date]],TODAY()),YEARFRAC(Table1_1[[#This Row],[Join_Date]],Table1_1[[#This Row],[Exit_Date]]))</f>
        <v>3.4361111111111109</v>
      </c>
      <c r="Q92" s="3">
        <f ca="1">YEARFRAC(Table1_1[[#This Row],[Date_of_Birth]],TODAY())</f>
        <v>26.375</v>
      </c>
      <c r="R92">
        <f>YEAR(Table1_1[[#This Row],[Join_Date]])</f>
        <v>2022</v>
      </c>
      <c r="S92" t="str">
        <f>TEXT(Table1_1[[#This Row],[Join_Date]],"yyyy-mm")</f>
        <v>2022-09</v>
      </c>
      <c r="T92" t="str">
        <f>IF(Table1_1[[#This Row],[Exit_Date]]="","",YEAR(Table1_1[[#This Row],[Exit_Date]]))</f>
        <v/>
      </c>
      <c r="U92" t="str">
        <f>IF(Table1_1[[#This Row],[Exit_Date]]="","",TEXT(Table1_1[[#This Row],[Exit_Date]],"yyyy-mm"))</f>
        <v/>
      </c>
      <c r="V92">
        <f>IF(Table1_1[[#This Row],[Employment_Type]]="Contract",1,0)</f>
        <v>1</v>
      </c>
    </row>
    <row r="93" spans="1:22" x14ac:dyDescent="0.3">
      <c r="A93" t="s">
        <v>248</v>
      </c>
      <c r="B93" t="s">
        <v>249</v>
      </c>
      <c r="C93" t="s">
        <v>14</v>
      </c>
      <c r="D93" s="1">
        <v>32247</v>
      </c>
      <c r="E93" s="1">
        <v>42653</v>
      </c>
      <c r="F93" s="1"/>
      <c r="G93" t="s">
        <v>43</v>
      </c>
      <c r="H93" t="s">
        <v>23</v>
      </c>
      <c r="I93" t="s">
        <v>250</v>
      </c>
      <c r="J93" t="s">
        <v>18</v>
      </c>
      <c r="K93">
        <v>70000</v>
      </c>
      <c r="M93" t="str">
        <f>IF(Table1_1[[#This Row],[Exit_Date]]="","Active","Exited")</f>
        <v>Active</v>
      </c>
      <c r="N93">
        <f>IF(Table1_1[[#This Row],[Employee_Status]]="Exited",1,0)</f>
        <v>0</v>
      </c>
      <c r="O93">
        <f>IF(Table1_1[[#This Row],[Employee_Status]]="Active",1,0)</f>
        <v>1</v>
      </c>
      <c r="P93" s="2">
        <f ca="1">IF(Table1_1[[#This Row],[Employee_Status]]="Active",YEARFRAC(Table1_1[[#This Row],[Join_Date]],TODAY()),YEARFRAC(Table1_1[[#This Row],[Join_Date]],Table1_1[[#This Row],[Exit_Date]]))</f>
        <v>9.3277777777777775</v>
      </c>
      <c r="Q93" s="3">
        <f ca="1">YEARFRAC(Table1_1[[#This Row],[Date_of_Birth]],TODAY())</f>
        <v>37.81666666666667</v>
      </c>
      <c r="R93">
        <f>YEAR(Table1_1[[#This Row],[Join_Date]])</f>
        <v>2016</v>
      </c>
      <c r="S93" t="str">
        <f>TEXT(Table1_1[[#This Row],[Join_Date]],"yyyy-mm")</f>
        <v>2016-10</v>
      </c>
      <c r="T93" t="str">
        <f>IF(Table1_1[[#This Row],[Exit_Date]]="","",YEAR(Table1_1[[#This Row],[Exit_Date]]))</f>
        <v/>
      </c>
      <c r="U93" t="str">
        <f>IF(Table1_1[[#This Row],[Exit_Date]]="","",TEXT(Table1_1[[#This Row],[Exit_Date]],"yyyy-mm"))</f>
        <v/>
      </c>
      <c r="V93">
        <f>IF(Table1_1[[#This Row],[Employment_Type]]="Contract",1,0)</f>
        <v>0</v>
      </c>
    </row>
    <row r="94" spans="1:22" x14ac:dyDescent="0.3">
      <c r="A94" t="s">
        <v>251</v>
      </c>
      <c r="B94" t="s">
        <v>252</v>
      </c>
      <c r="C94" t="s">
        <v>21</v>
      </c>
      <c r="D94" s="1">
        <v>35463</v>
      </c>
      <c r="E94" s="1">
        <v>44396</v>
      </c>
      <c r="F94" s="1"/>
      <c r="G94" t="s">
        <v>33</v>
      </c>
      <c r="H94" t="s">
        <v>16</v>
      </c>
      <c r="I94" t="s">
        <v>253</v>
      </c>
      <c r="J94" t="s">
        <v>18</v>
      </c>
      <c r="K94">
        <v>39000</v>
      </c>
      <c r="M94" t="str">
        <f>IF(Table1_1[[#This Row],[Exit_Date]]="","Active","Exited")</f>
        <v>Active</v>
      </c>
      <c r="N94">
        <f>IF(Table1_1[[#This Row],[Employee_Status]]="Exited",1,0)</f>
        <v>0</v>
      </c>
      <c r="O94">
        <f>IF(Table1_1[[#This Row],[Employee_Status]]="Active",1,0)</f>
        <v>1</v>
      </c>
      <c r="P94" s="2">
        <f ca="1">IF(Table1_1[[#This Row],[Employee_Status]]="Active",YEARFRAC(Table1_1[[#This Row],[Join_Date]],TODAY()),YEARFRAC(Table1_1[[#This Row],[Join_Date]],Table1_1[[#This Row],[Exit_Date]]))</f>
        <v>4.552777777777778</v>
      </c>
      <c r="Q94" s="3">
        <f ca="1">YEARFRAC(Table1_1[[#This Row],[Date_of_Birth]],TODAY())</f>
        <v>29.016666666666666</v>
      </c>
      <c r="R94">
        <f>YEAR(Table1_1[[#This Row],[Join_Date]])</f>
        <v>2021</v>
      </c>
      <c r="S94" t="str">
        <f>TEXT(Table1_1[[#This Row],[Join_Date]],"yyyy-mm")</f>
        <v>2021-07</v>
      </c>
      <c r="T94" t="str">
        <f>IF(Table1_1[[#This Row],[Exit_Date]]="","",YEAR(Table1_1[[#This Row],[Exit_Date]]))</f>
        <v/>
      </c>
      <c r="U94" t="str">
        <f>IF(Table1_1[[#This Row],[Exit_Date]]="","",TEXT(Table1_1[[#This Row],[Exit_Date]],"yyyy-mm"))</f>
        <v/>
      </c>
      <c r="V94">
        <f>IF(Table1_1[[#This Row],[Employment_Type]]="Contract",1,0)</f>
        <v>0</v>
      </c>
    </row>
    <row r="95" spans="1:22" x14ac:dyDescent="0.3">
      <c r="A95" t="s">
        <v>254</v>
      </c>
      <c r="B95" t="s">
        <v>255</v>
      </c>
      <c r="C95" t="s">
        <v>14</v>
      </c>
      <c r="D95" s="1">
        <v>34284</v>
      </c>
      <c r="E95" s="1">
        <v>43487</v>
      </c>
      <c r="F95" s="1"/>
      <c r="G95" t="s">
        <v>28</v>
      </c>
      <c r="H95" t="s">
        <v>16</v>
      </c>
      <c r="I95" t="s">
        <v>45</v>
      </c>
      <c r="J95" t="s">
        <v>18</v>
      </c>
      <c r="K95">
        <v>46000</v>
      </c>
      <c r="M95" t="str">
        <f>IF(Table1_1[[#This Row],[Exit_Date]]="","Active","Exited")</f>
        <v>Active</v>
      </c>
      <c r="N95">
        <f>IF(Table1_1[[#This Row],[Employee_Status]]="Exited",1,0)</f>
        <v>0</v>
      </c>
      <c r="O95">
        <f>IF(Table1_1[[#This Row],[Employee_Status]]="Active",1,0)</f>
        <v>1</v>
      </c>
      <c r="P95" s="2">
        <f ca="1">IF(Table1_1[[#This Row],[Employee_Status]]="Active",YEARFRAC(Table1_1[[#This Row],[Join_Date]],TODAY()),YEARFRAC(Table1_1[[#This Row],[Join_Date]],Table1_1[[#This Row],[Exit_Date]]))</f>
        <v>7.0444444444444443</v>
      </c>
      <c r="Q95" s="3">
        <f ca="1">YEARFRAC(Table1_1[[#This Row],[Date_of_Birth]],TODAY())</f>
        <v>32.241666666666667</v>
      </c>
      <c r="R95">
        <f>YEAR(Table1_1[[#This Row],[Join_Date]])</f>
        <v>2019</v>
      </c>
      <c r="S95" t="str">
        <f>TEXT(Table1_1[[#This Row],[Join_Date]],"yyyy-mm")</f>
        <v>2019-01</v>
      </c>
      <c r="T95" t="str">
        <f>IF(Table1_1[[#This Row],[Exit_Date]]="","",YEAR(Table1_1[[#This Row],[Exit_Date]]))</f>
        <v/>
      </c>
      <c r="U95" t="str">
        <f>IF(Table1_1[[#This Row],[Exit_Date]]="","",TEXT(Table1_1[[#This Row],[Exit_Date]],"yyyy-mm"))</f>
        <v/>
      </c>
      <c r="V95">
        <f>IF(Table1_1[[#This Row],[Employment_Type]]="Contract",1,0)</f>
        <v>0</v>
      </c>
    </row>
    <row r="96" spans="1:22" x14ac:dyDescent="0.3">
      <c r="A96" t="s">
        <v>256</v>
      </c>
      <c r="B96" t="s">
        <v>257</v>
      </c>
      <c r="C96" t="s">
        <v>21</v>
      </c>
      <c r="D96" s="1">
        <v>34858</v>
      </c>
      <c r="E96" s="1">
        <v>43966</v>
      </c>
      <c r="F96" s="1"/>
      <c r="G96" t="s">
        <v>22</v>
      </c>
      <c r="H96" t="s">
        <v>16</v>
      </c>
      <c r="I96" t="s">
        <v>108</v>
      </c>
      <c r="J96" t="s">
        <v>18</v>
      </c>
      <c r="K96">
        <v>42000</v>
      </c>
      <c r="M96" t="str">
        <f>IF(Table1_1[[#This Row],[Exit_Date]]="","Active","Exited")</f>
        <v>Active</v>
      </c>
      <c r="N96">
        <f>IF(Table1_1[[#This Row],[Employee_Status]]="Exited",1,0)</f>
        <v>0</v>
      </c>
      <c r="O96">
        <f>IF(Table1_1[[#This Row],[Employee_Status]]="Active",1,0)</f>
        <v>1</v>
      </c>
      <c r="P96" s="2">
        <f ca="1">IF(Table1_1[[#This Row],[Employee_Status]]="Active",YEARFRAC(Table1_1[[#This Row],[Join_Date]],TODAY()),YEARFRAC(Table1_1[[#This Row],[Join_Date]],Table1_1[[#This Row],[Exit_Date]]))</f>
        <v>5.7305555555555552</v>
      </c>
      <c r="Q96" s="3">
        <f ca="1">YEARFRAC(Table1_1[[#This Row],[Date_of_Birth]],TODAY())</f>
        <v>30.666666666666668</v>
      </c>
      <c r="R96">
        <f>YEAR(Table1_1[[#This Row],[Join_Date]])</f>
        <v>2020</v>
      </c>
      <c r="S96" t="str">
        <f>TEXT(Table1_1[[#This Row],[Join_Date]],"yyyy-mm")</f>
        <v>2020-05</v>
      </c>
      <c r="T96" t="str">
        <f>IF(Table1_1[[#This Row],[Exit_Date]]="","",YEAR(Table1_1[[#This Row],[Exit_Date]]))</f>
        <v/>
      </c>
      <c r="U96" t="str">
        <f>IF(Table1_1[[#This Row],[Exit_Date]]="","",TEXT(Table1_1[[#This Row],[Exit_Date]],"yyyy-mm"))</f>
        <v/>
      </c>
      <c r="V96">
        <f>IF(Table1_1[[#This Row],[Employment_Type]]="Contract",1,0)</f>
        <v>0</v>
      </c>
    </row>
    <row r="97" spans="1:22" x14ac:dyDescent="0.3">
      <c r="A97" t="s">
        <v>258</v>
      </c>
      <c r="B97" t="s">
        <v>259</v>
      </c>
      <c r="C97" t="s">
        <v>14</v>
      </c>
      <c r="D97" s="1">
        <v>32014</v>
      </c>
      <c r="E97" s="1">
        <v>41891</v>
      </c>
      <c r="F97" s="1"/>
      <c r="G97" t="s">
        <v>43</v>
      </c>
      <c r="H97" t="s">
        <v>29</v>
      </c>
      <c r="I97" t="s">
        <v>260</v>
      </c>
      <c r="J97" t="s">
        <v>18</v>
      </c>
      <c r="K97">
        <v>89000</v>
      </c>
      <c r="M97" t="str">
        <f>IF(Table1_1[[#This Row],[Exit_Date]]="","Active","Exited")</f>
        <v>Active</v>
      </c>
      <c r="N97">
        <f>IF(Table1_1[[#This Row],[Employee_Status]]="Exited",1,0)</f>
        <v>0</v>
      </c>
      <c r="O97">
        <f>IF(Table1_1[[#This Row],[Employee_Status]]="Active",1,0)</f>
        <v>1</v>
      </c>
      <c r="P97" s="2">
        <f ca="1">IF(Table1_1[[#This Row],[Employee_Status]]="Active",YEARFRAC(Table1_1[[#This Row],[Join_Date]],TODAY()),YEARFRAC(Table1_1[[#This Row],[Join_Date]],Table1_1[[#This Row],[Exit_Date]]))</f>
        <v>11.41388888888889</v>
      </c>
      <c r="Q97" s="3">
        <f ca="1">YEARFRAC(Table1_1[[#This Row],[Date_of_Birth]],TODAY())</f>
        <v>38.452777777777776</v>
      </c>
      <c r="R97">
        <f>YEAR(Table1_1[[#This Row],[Join_Date]])</f>
        <v>2014</v>
      </c>
      <c r="S97" t="str">
        <f>TEXT(Table1_1[[#This Row],[Join_Date]],"yyyy-mm")</f>
        <v>2014-09</v>
      </c>
      <c r="T97" t="str">
        <f>IF(Table1_1[[#This Row],[Exit_Date]]="","",YEAR(Table1_1[[#This Row],[Exit_Date]]))</f>
        <v/>
      </c>
      <c r="U97" t="str">
        <f>IF(Table1_1[[#This Row],[Exit_Date]]="","",TEXT(Table1_1[[#This Row],[Exit_Date]],"yyyy-mm"))</f>
        <v/>
      </c>
      <c r="V97">
        <f>IF(Table1_1[[#This Row],[Employment_Type]]="Contract",1,0)</f>
        <v>0</v>
      </c>
    </row>
    <row r="98" spans="1:22" x14ac:dyDescent="0.3">
      <c r="A98" t="s">
        <v>261</v>
      </c>
      <c r="B98" t="s">
        <v>262</v>
      </c>
      <c r="C98" t="s">
        <v>21</v>
      </c>
      <c r="D98" s="1">
        <v>35356</v>
      </c>
      <c r="E98" s="1">
        <v>44409</v>
      </c>
      <c r="F98" s="1"/>
      <c r="G98" t="s">
        <v>33</v>
      </c>
      <c r="H98" t="s">
        <v>23</v>
      </c>
      <c r="I98" t="s">
        <v>263</v>
      </c>
      <c r="J98" t="s">
        <v>18</v>
      </c>
      <c r="K98">
        <v>61000</v>
      </c>
      <c r="M98" t="str">
        <f>IF(Table1_1[[#This Row],[Exit_Date]]="","Active","Exited")</f>
        <v>Active</v>
      </c>
      <c r="N98">
        <f>IF(Table1_1[[#This Row],[Employee_Status]]="Exited",1,0)</f>
        <v>0</v>
      </c>
      <c r="O98">
        <f>IF(Table1_1[[#This Row],[Employee_Status]]="Active",1,0)</f>
        <v>1</v>
      </c>
      <c r="P98" s="2">
        <f ca="1">IF(Table1_1[[#This Row],[Employee_Status]]="Active",YEARFRAC(Table1_1[[#This Row],[Join_Date]],TODAY()),YEARFRAC(Table1_1[[#This Row],[Join_Date]],Table1_1[[#This Row],[Exit_Date]]))</f>
        <v>4.5194444444444448</v>
      </c>
      <c r="Q98" s="3">
        <f ca="1">YEARFRAC(Table1_1[[#This Row],[Date_of_Birth]],TODAY())</f>
        <v>29.305555555555557</v>
      </c>
      <c r="R98">
        <f>YEAR(Table1_1[[#This Row],[Join_Date]])</f>
        <v>2021</v>
      </c>
      <c r="S98" t="str">
        <f>TEXT(Table1_1[[#This Row],[Join_Date]],"yyyy-mm")</f>
        <v>2021-08</v>
      </c>
      <c r="T98" t="str">
        <f>IF(Table1_1[[#This Row],[Exit_Date]]="","",YEAR(Table1_1[[#This Row],[Exit_Date]]))</f>
        <v/>
      </c>
      <c r="U98" t="str">
        <f>IF(Table1_1[[#This Row],[Exit_Date]]="","",TEXT(Table1_1[[#This Row],[Exit_Date]],"yyyy-mm"))</f>
        <v/>
      </c>
      <c r="V98">
        <f>IF(Table1_1[[#This Row],[Employment_Type]]="Contract",1,0)</f>
        <v>0</v>
      </c>
    </row>
    <row r="99" spans="1:22" x14ac:dyDescent="0.3">
      <c r="A99" t="s">
        <v>264</v>
      </c>
      <c r="B99" t="s">
        <v>265</v>
      </c>
      <c r="C99" t="s">
        <v>14</v>
      </c>
      <c r="D99" s="1">
        <v>32874</v>
      </c>
      <c r="E99" s="1">
        <v>43081</v>
      </c>
      <c r="F99" s="1"/>
      <c r="G99" t="s">
        <v>28</v>
      </c>
      <c r="H99" t="s">
        <v>44</v>
      </c>
      <c r="I99" t="s">
        <v>266</v>
      </c>
      <c r="J99" t="s">
        <v>18</v>
      </c>
      <c r="K99">
        <v>108000</v>
      </c>
      <c r="M99" t="str">
        <f>IF(Table1_1[[#This Row],[Exit_Date]]="","Active","Exited")</f>
        <v>Active</v>
      </c>
      <c r="N99">
        <f>IF(Table1_1[[#This Row],[Employee_Status]]="Exited",1,0)</f>
        <v>0</v>
      </c>
      <c r="O99">
        <f>IF(Table1_1[[#This Row],[Employee_Status]]="Active",1,0)</f>
        <v>1</v>
      </c>
      <c r="P99" s="2">
        <f ca="1">IF(Table1_1[[#This Row],[Employee_Status]]="Active",YEARFRAC(Table1_1[[#This Row],[Join_Date]],TODAY()),YEARFRAC(Table1_1[[#This Row],[Join_Date]],Table1_1[[#This Row],[Exit_Date]]))</f>
        <v>8.155555555555555</v>
      </c>
      <c r="Q99" s="3">
        <f ca="1">YEARFRAC(Table1_1[[#This Row],[Date_of_Birth]],TODAY())</f>
        <v>36.102777777777774</v>
      </c>
      <c r="R99">
        <f>YEAR(Table1_1[[#This Row],[Join_Date]])</f>
        <v>2017</v>
      </c>
      <c r="S99" t="str">
        <f>TEXT(Table1_1[[#This Row],[Join_Date]],"yyyy-mm")</f>
        <v>2017-12</v>
      </c>
      <c r="T99" t="str">
        <f>IF(Table1_1[[#This Row],[Exit_Date]]="","",YEAR(Table1_1[[#This Row],[Exit_Date]]))</f>
        <v/>
      </c>
      <c r="U99" t="str">
        <f>IF(Table1_1[[#This Row],[Exit_Date]]="","",TEXT(Table1_1[[#This Row],[Exit_Date]],"yyyy-mm"))</f>
        <v/>
      </c>
      <c r="V99">
        <f>IF(Table1_1[[#This Row],[Employment_Type]]="Contract",1,0)</f>
        <v>0</v>
      </c>
    </row>
    <row r="100" spans="1:22" x14ac:dyDescent="0.3">
      <c r="A100" t="s">
        <v>267</v>
      </c>
      <c r="B100" t="s">
        <v>268</v>
      </c>
      <c r="C100" t="s">
        <v>21</v>
      </c>
      <c r="D100" s="1">
        <v>35881</v>
      </c>
      <c r="E100" s="1">
        <v>44597</v>
      </c>
      <c r="F100" s="1"/>
      <c r="G100" t="s">
        <v>22</v>
      </c>
      <c r="H100" t="s">
        <v>16</v>
      </c>
      <c r="I100" t="s">
        <v>269</v>
      </c>
      <c r="J100" t="s">
        <v>48</v>
      </c>
      <c r="K100">
        <v>32000</v>
      </c>
      <c r="M100" t="str">
        <f>IF(Table1_1[[#This Row],[Exit_Date]]="","Active","Exited")</f>
        <v>Active</v>
      </c>
      <c r="N100">
        <f>IF(Table1_1[[#This Row],[Employee_Status]]="Exited",1,0)</f>
        <v>0</v>
      </c>
      <c r="O100">
        <f>IF(Table1_1[[#This Row],[Employee_Status]]="Active",1,0)</f>
        <v>1</v>
      </c>
      <c r="P100" s="2">
        <f ca="1">IF(Table1_1[[#This Row],[Employee_Status]]="Active",YEARFRAC(Table1_1[[#This Row],[Join_Date]],TODAY()),YEARFRAC(Table1_1[[#This Row],[Join_Date]],Table1_1[[#This Row],[Exit_Date]]))</f>
        <v>4.0083333333333337</v>
      </c>
      <c r="Q100" s="3">
        <f ca="1">YEARFRAC(Table1_1[[#This Row],[Date_of_Birth]],TODAY())</f>
        <v>27.863888888888887</v>
      </c>
      <c r="R100">
        <f>YEAR(Table1_1[[#This Row],[Join_Date]])</f>
        <v>2022</v>
      </c>
      <c r="S100" t="str">
        <f>TEXT(Table1_1[[#This Row],[Join_Date]],"yyyy-mm")</f>
        <v>2022-02</v>
      </c>
      <c r="T100" t="str">
        <f>IF(Table1_1[[#This Row],[Exit_Date]]="","",YEAR(Table1_1[[#This Row],[Exit_Date]]))</f>
        <v/>
      </c>
      <c r="U100" t="str">
        <f>IF(Table1_1[[#This Row],[Exit_Date]]="","",TEXT(Table1_1[[#This Row],[Exit_Date]],"yyyy-mm"))</f>
        <v/>
      </c>
      <c r="V100">
        <f>IF(Table1_1[[#This Row],[Employment_Type]]="Contract",1,0)</f>
        <v>1</v>
      </c>
    </row>
    <row r="101" spans="1:22" x14ac:dyDescent="0.3">
      <c r="A101" t="s">
        <v>270</v>
      </c>
      <c r="B101" t="s">
        <v>271</v>
      </c>
      <c r="C101" t="s">
        <v>14</v>
      </c>
      <c r="D101" s="1">
        <v>30839</v>
      </c>
      <c r="E101" s="1">
        <v>40096</v>
      </c>
      <c r="F101" s="1"/>
      <c r="G101" t="s">
        <v>43</v>
      </c>
      <c r="H101" t="s">
        <v>88</v>
      </c>
      <c r="I101" t="s">
        <v>272</v>
      </c>
      <c r="J101" t="s">
        <v>18</v>
      </c>
      <c r="K101">
        <v>170000</v>
      </c>
      <c r="M101" t="str">
        <f>IF(Table1_1[[#This Row],[Exit_Date]]="","Active","Exited")</f>
        <v>Active</v>
      </c>
      <c r="N101">
        <f>IF(Table1_1[[#This Row],[Employee_Status]]="Exited",1,0)</f>
        <v>0</v>
      </c>
      <c r="O101">
        <f>IF(Table1_1[[#This Row],[Employee_Status]]="Active",1,0)</f>
        <v>1</v>
      </c>
      <c r="P101" s="2">
        <f ca="1">IF(Table1_1[[#This Row],[Employee_Status]]="Active",YEARFRAC(Table1_1[[#This Row],[Join_Date]],TODAY()),YEARFRAC(Table1_1[[#This Row],[Join_Date]],Table1_1[[#This Row],[Exit_Date]]))</f>
        <v>16.327777777777779</v>
      </c>
      <c r="Q101" s="3">
        <f ca="1">YEARFRAC(Table1_1[[#This Row],[Date_of_Birth]],TODAY())</f>
        <v>41.672222222222224</v>
      </c>
      <c r="R101">
        <f>YEAR(Table1_1[[#This Row],[Join_Date]])</f>
        <v>2009</v>
      </c>
      <c r="S101" t="str">
        <f>TEXT(Table1_1[[#This Row],[Join_Date]],"yyyy-mm")</f>
        <v>2009-10</v>
      </c>
      <c r="T101" t="str">
        <f>IF(Table1_1[[#This Row],[Exit_Date]]="","",YEAR(Table1_1[[#This Row],[Exit_Date]]))</f>
        <v/>
      </c>
      <c r="U101" t="str">
        <f>IF(Table1_1[[#This Row],[Exit_Date]]="","",TEXT(Table1_1[[#This Row],[Exit_Date]],"yyyy-mm"))</f>
        <v/>
      </c>
      <c r="V101">
        <f>IF(Table1_1[[#This Row],[Employment_Type]]="Contract",1,0)</f>
        <v>0</v>
      </c>
    </row>
    <row r="102" spans="1:22" x14ac:dyDescent="0.3">
      <c r="A102" t="s">
        <v>273</v>
      </c>
      <c r="B102" t="s">
        <v>274</v>
      </c>
      <c r="C102" t="s">
        <v>14</v>
      </c>
      <c r="D102" s="1">
        <v>33340</v>
      </c>
      <c r="E102" s="1">
        <v>43256</v>
      </c>
      <c r="F102" s="1"/>
      <c r="G102" t="s">
        <v>28</v>
      </c>
      <c r="H102" t="s">
        <v>16</v>
      </c>
      <c r="I102" t="s">
        <v>275</v>
      </c>
      <c r="J102" t="s">
        <v>18</v>
      </c>
      <c r="K102">
        <v>47000</v>
      </c>
      <c r="M102" t="str">
        <f>IF(Table1_1[[#This Row],[Exit_Date]]="","Active","Exited")</f>
        <v>Active</v>
      </c>
      <c r="N102">
        <f>IF(Table1_1[[#This Row],[Employee_Status]]="Exited",1,0)</f>
        <v>0</v>
      </c>
      <c r="O102">
        <f>IF(Table1_1[[#This Row],[Employee_Status]]="Active",1,0)</f>
        <v>1</v>
      </c>
      <c r="P102" s="2">
        <f ca="1">IF(Table1_1[[#This Row],[Employee_Status]]="Active",YEARFRAC(Table1_1[[#This Row],[Join_Date]],TODAY()),YEARFRAC(Table1_1[[#This Row],[Join_Date]],Table1_1[[#This Row],[Exit_Date]]))</f>
        <v>7.6749999999999998</v>
      </c>
      <c r="Q102" s="3">
        <f ca="1">YEARFRAC(Table1_1[[#This Row],[Date_of_Birth]],TODAY())</f>
        <v>34.822222222222223</v>
      </c>
      <c r="R102">
        <f>YEAR(Table1_1[[#This Row],[Join_Date]])</f>
        <v>2018</v>
      </c>
      <c r="S102" t="str">
        <f>TEXT(Table1_1[[#This Row],[Join_Date]],"yyyy-mm")</f>
        <v>2018-06</v>
      </c>
      <c r="T102" t="str">
        <f>IF(Table1_1[[#This Row],[Exit_Date]]="","",YEAR(Table1_1[[#This Row],[Exit_Date]]))</f>
        <v/>
      </c>
      <c r="U102" t="str">
        <f>IF(Table1_1[[#This Row],[Exit_Date]]="","",TEXT(Table1_1[[#This Row],[Exit_Date]],"yyyy-mm"))</f>
        <v/>
      </c>
      <c r="V102">
        <f>IF(Table1_1[[#This Row],[Employment_Type]]="Contract",1,0)</f>
        <v>0</v>
      </c>
    </row>
    <row r="103" spans="1:22" x14ac:dyDescent="0.3">
      <c r="A103" t="s">
        <v>276</v>
      </c>
      <c r="B103" t="s">
        <v>277</v>
      </c>
      <c r="C103" t="s">
        <v>21</v>
      </c>
      <c r="D103" s="1">
        <v>35298</v>
      </c>
      <c r="E103" s="1">
        <v>44031</v>
      </c>
      <c r="F103" s="1"/>
      <c r="G103" t="s">
        <v>22</v>
      </c>
      <c r="H103" t="s">
        <v>16</v>
      </c>
      <c r="I103" t="s">
        <v>30</v>
      </c>
      <c r="J103" t="s">
        <v>18</v>
      </c>
      <c r="K103">
        <v>42000</v>
      </c>
      <c r="M103" t="str">
        <f>IF(Table1_1[[#This Row],[Exit_Date]]="","Active","Exited")</f>
        <v>Active</v>
      </c>
      <c r="N103">
        <f>IF(Table1_1[[#This Row],[Employee_Status]]="Exited",1,0)</f>
        <v>0</v>
      </c>
      <c r="O103">
        <f>IF(Table1_1[[#This Row],[Employee_Status]]="Active",1,0)</f>
        <v>1</v>
      </c>
      <c r="P103" s="2">
        <f ca="1">IF(Table1_1[[#This Row],[Employee_Status]]="Active",YEARFRAC(Table1_1[[#This Row],[Join_Date]],TODAY()),YEARFRAC(Table1_1[[#This Row],[Join_Date]],Table1_1[[#This Row],[Exit_Date]]))</f>
        <v>5.552777777777778</v>
      </c>
      <c r="Q103" s="3">
        <f ca="1">YEARFRAC(Table1_1[[#This Row],[Date_of_Birth]],TODAY())</f>
        <v>29.463888888888889</v>
      </c>
      <c r="R103">
        <f>YEAR(Table1_1[[#This Row],[Join_Date]])</f>
        <v>2020</v>
      </c>
      <c r="S103" t="str">
        <f>TEXT(Table1_1[[#This Row],[Join_Date]],"yyyy-mm")</f>
        <v>2020-07</v>
      </c>
      <c r="T103" t="str">
        <f>IF(Table1_1[[#This Row],[Exit_Date]]="","",YEAR(Table1_1[[#This Row],[Exit_Date]]))</f>
        <v/>
      </c>
      <c r="U103" t="str">
        <f>IF(Table1_1[[#This Row],[Exit_Date]]="","",TEXT(Table1_1[[#This Row],[Exit_Date]],"yyyy-mm"))</f>
        <v/>
      </c>
      <c r="V103">
        <f>IF(Table1_1[[#This Row],[Employment_Type]]="Contract",1,0)</f>
        <v>0</v>
      </c>
    </row>
    <row r="104" spans="1:22" x14ac:dyDescent="0.3">
      <c r="A104" t="s">
        <v>278</v>
      </c>
      <c r="B104" t="s">
        <v>279</v>
      </c>
      <c r="C104" t="s">
        <v>14</v>
      </c>
      <c r="D104" s="1">
        <v>32570</v>
      </c>
      <c r="E104" s="1">
        <v>42370</v>
      </c>
      <c r="F104" s="1"/>
      <c r="G104" t="s">
        <v>33</v>
      </c>
      <c r="H104" t="s">
        <v>29</v>
      </c>
      <c r="I104" t="s">
        <v>197</v>
      </c>
      <c r="J104" t="s">
        <v>18</v>
      </c>
      <c r="K104">
        <v>90000</v>
      </c>
      <c r="M104" t="str">
        <f>IF(Table1_1[[#This Row],[Exit_Date]]="","Active","Exited")</f>
        <v>Active</v>
      </c>
      <c r="N104">
        <f>IF(Table1_1[[#This Row],[Employee_Status]]="Exited",1,0)</f>
        <v>0</v>
      </c>
      <c r="O104">
        <f>IF(Table1_1[[#This Row],[Employee_Status]]="Active",1,0)</f>
        <v>1</v>
      </c>
      <c r="P104" s="2">
        <f ca="1">IF(Table1_1[[#This Row],[Employee_Status]]="Active",YEARFRAC(Table1_1[[#This Row],[Join_Date]],TODAY()),YEARFRAC(Table1_1[[#This Row],[Join_Date]],Table1_1[[#This Row],[Exit_Date]]))</f>
        <v>10.102777777777778</v>
      </c>
      <c r="Q104" s="3">
        <f ca="1">YEARFRAC(Table1_1[[#This Row],[Date_of_Birth]],TODAY())</f>
        <v>36.930555555555557</v>
      </c>
      <c r="R104">
        <f>YEAR(Table1_1[[#This Row],[Join_Date]])</f>
        <v>2016</v>
      </c>
      <c r="S104" t="str">
        <f>TEXT(Table1_1[[#This Row],[Join_Date]],"yyyy-mm")</f>
        <v>2016-01</v>
      </c>
      <c r="T104" t="str">
        <f>IF(Table1_1[[#This Row],[Exit_Date]]="","",YEAR(Table1_1[[#This Row],[Exit_Date]]))</f>
        <v/>
      </c>
      <c r="U104" t="str">
        <f>IF(Table1_1[[#This Row],[Exit_Date]]="","",TEXT(Table1_1[[#This Row],[Exit_Date]],"yyyy-mm"))</f>
        <v/>
      </c>
      <c r="V104">
        <f>IF(Table1_1[[#This Row],[Employment_Type]]="Contract",1,0)</f>
        <v>0</v>
      </c>
    </row>
    <row r="105" spans="1:22" x14ac:dyDescent="0.3">
      <c r="A105" t="s">
        <v>280</v>
      </c>
      <c r="B105" t="s">
        <v>281</v>
      </c>
      <c r="C105" t="s">
        <v>21</v>
      </c>
      <c r="D105" s="1">
        <v>35690</v>
      </c>
      <c r="E105" s="1">
        <v>44479</v>
      </c>
      <c r="F105" s="1"/>
      <c r="G105" t="s">
        <v>28</v>
      </c>
      <c r="H105" t="s">
        <v>16</v>
      </c>
      <c r="I105" t="s">
        <v>57</v>
      </c>
      <c r="J105" t="s">
        <v>48</v>
      </c>
      <c r="K105">
        <v>34000</v>
      </c>
      <c r="M105" t="str">
        <f>IF(Table1_1[[#This Row],[Exit_Date]]="","Active","Exited")</f>
        <v>Active</v>
      </c>
      <c r="N105">
        <f>IF(Table1_1[[#This Row],[Employee_Status]]="Exited",1,0)</f>
        <v>0</v>
      </c>
      <c r="O105">
        <f>IF(Table1_1[[#This Row],[Employee_Status]]="Active",1,0)</f>
        <v>1</v>
      </c>
      <c r="P105" s="2">
        <f ca="1">IF(Table1_1[[#This Row],[Employee_Status]]="Active",YEARFRAC(Table1_1[[#This Row],[Join_Date]],TODAY()),YEARFRAC(Table1_1[[#This Row],[Join_Date]],Table1_1[[#This Row],[Exit_Date]]))</f>
        <v>4.3277777777777775</v>
      </c>
      <c r="Q105" s="3">
        <f ca="1">YEARFRAC(Table1_1[[#This Row],[Date_of_Birth]],TODAY())</f>
        <v>28.391666666666666</v>
      </c>
      <c r="R105">
        <f>YEAR(Table1_1[[#This Row],[Join_Date]])</f>
        <v>2021</v>
      </c>
      <c r="S105" t="str">
        <f>TEXT(Table1_1[[#This Row],[Join_Date]],"yyyy-mm")</f>
        <v>2021-10</v>
      </c>
      <c r="T105" t="str">
        <f>IF(Table1_1[[#This Row],[Exit_Date]]="","",YEAR(Table1_1[[#This Row],[Exit_Date]]))</f>
        <v/>
      </c>
      <c r="U105" t="str">
        <f>IF(Table1_1[[#This Row],[Exit_Date]]="","",TEXT(Table1_1[[#This Row],[Exit_Date]],"yyyy-mm"))</f>
        <v/>
      </c>
      <c r="V105">
        <f>IF(Table1_1[[#This Row],[Employment_Type]]="Contract",1,0)</f>
        <v>1</v>
      </c>
    </row>
    <row r="106" spans="1:22" x14ac:dyDescent="0.3">
      <c r="A106" t="s">
        <v>282</v>
      </c>
      <c r="B106" t="s">
        <v>283</v>
      </c>
      <c r="C106" t="s">
        <v>14</v>
      </c>
      <c r="D106" s="1">
        <v>31727</v>
      </c>
      <c r="E106" s="1">
        <v>41774</v>
      </c>
      <c r="F106" s="1"/>
      <c r="G106" t="s">
        <v>43</v>
      </c>
      <c r="H106" t="s">
        <v>44</v>
      </c>
      <c r="I106" t="s">
        <v>284</v>
      </c>
      <c r="J106" t="s">
        <v>18</v>
      </c>
      <c r="K106">
        <v>118000</v>
      </c>
      <c r="M106" t="str">
        <f>IF(Table1_1[[#This Row],[Exit_Date]]="","Active","Exited")</f>
        <v>Active</v>
      </c>
      <c r="N106">
        <f>IF(Table1_1[[#This Row],[Employee_Status]]="Exited",1,0)</f>
        <v>0</v>
      </c>
      <c r="O106">
        <f>IF(Table1_1[[#This Row],[Employee_Status]]="Active",1,0)</f>
        <v>1</v>
      </c>
      <c r="P106" s="2">
        <f ca="1">IF(Table1_1[[#This Row],[Employee_Status]]="Active",YEARFRAC(Table1_1[[#This Row],[Join_Date]],TODAY()),YEARFRAC(Table1_1[[#This Row],[Join_Date]],Table1_1[[#This Row],[Exit_Date]]))</f>
        <v>11.730555555555556</v>
      </c>
      <c r="Q106" s="3">
        <f ca="1">YEARFRAC(Table1_1[[#This Row],[Date_of_Birth]],TODAY())</f>
        <v>39.241666666666667</v>
      </c>
      <c r="R106">
        <f>YEAR(Table1_1[[#This Row],[Join_Date]])</f>
        <v>2014</v>
      </c>
      <c r="S106" t="str">
        <f>TEXT(Table1_1[[#This Row],[Join_Date]],"yyyy-mm")</f>
        <v>2014-05</v>
      </c>
      <c r="T106" t="str">
        <f>IF(Table1_1[[#This Row],[Exit_Date]]="","",YEAR(Table1_1[[#This Row],[Exit_Date]]))</f>
        <v/>
      </c>
      <c r="U106" t="str">
        <f>IF(Table1_1[[#This Row],[Exit_Date]]="","",TEXT(Table1_1[[#This Row],[Exit_Date]],"yyyy-mm"))</f>
        <v/>
      </c>
      <c r="V106">
        <f>IF(Table1_1[[#This Row],[Employment_Type]]="Contract",1,0)</f>
        <v>0</v>
      </c>
    </row>
    <row r="107" spans="1:22" x14ac:dyDescent="0.3">
      <c r="A107" t="s">
        <v>285</v>
      </c>
      <c r="B107" t="s">
        <v>286</v>
      </c>
      <c r="C107" t="s">
        <v>21</v>
      </c>
      <c r="D107" s="1">
        <v>34738</v>
      </c>
      <c r="E107" s="1">
        <v>43636</v>
      </c>
      <c r="F107" s="1"/>
      <c r="G107" t="s">
        <v>33</v>
      </c>
      <c r="H107" t="s">
        <v>16</v>
      </c>
      <c r="I107" t="s">
        <v>125</v>
      </c>
      <c r="J107" t="s">
        <v>18</v>
      </c>
      <c r="K107">
        <v>44000</v>
      </c>
      <c r="M107" t="str">
        <f>IF(Table1_1[[#This Row],[Exit_Date]]="","Active","Exited")</f>
        <v>Active</v>
      </c>
      <c r="N107">
        <f>IF(Table1_1[[#This Row],[Employee_Status]]="Exited",1,0)</f>
        <v>0</v>
      </c>
      <c r="O107">
        <f>IF(Table1_1[[#This Row],[Employee_Status]]="Active",1,0)</f>
        <v>1</v>
      </c>
      <c r="P107" s="2">
        <f ca="1">IF(Table1_1[[#This Row],[Employee_Status]]="Active",YEARFRAC(Table1_1[[#This Row],[Join_Date]],TODAY()),YEARFRAC(Table1_1[[#This Row],[Join_Date]],Table1_1[[#This Row],[Exit_Date]]))</f>
        <v>6.6333333333333337</v>
      </c>
      <c r="Q107" s="3">
        <f ca="1">YEARFRAC(Table1_1[[#This Row],[Date_of_Birth]],TODAY())</f>
        <v>31</v>
      </c>
      <c r="R107">
        <f>YEAR(Table1_1[[#This Row],[Join_Date]])</f>
        <v>2019</v>
      </c>
      <c r="S107" t="str">
        <f>TEXT(Table1_1[[#This Row],[Join_Date]],"yyyy-mm")</f>
        <v>2019-06</v>
      </c>
      <c r="T107" t="str">
        <f>IF(Table1_1[[#This Row],[Exit_Date]]="","",YEAR(Table1_1[[#This Row],[Exit_Date]]))</f>
        <v/>
      </c>
      <c r="U107" t="str">
        <f>IF(Table1_1[[#This Row],[Exit_Date]]="","",TEXT(Table1_1[[#This Row],[Exit_Date]],"yyyy-mm"))</f>
        <v/>
      </c>
      <c r="V107">
        <f>IF(Table1_1[[#This Row],[Employment_Type]]="Contract",1,0)</f>
        <v>0</v>
      </c>
    </row>
    <row r="108" spans="1:22" x14ac:dyDescent="0.3">
      <c r="A108" t="s">
        <v>287</v>
      </c>
      <c r="B108" t="s">
        <v>288</v>
      </c>
      <c r="C108" t="s">
        <v>14</v>
      </c>
      <c r="D108" s="1">
        <v>33781</v>
      </c>
      <c r="E108" s="1">
        <v>43177</v>
      </c>
      <c r="F108" s="1"/>
      <c r="G108" t="s">
        <v>28</v>
      </c>
      <c r="H108" t="s">
        <v>23</v>
      </c>
      <c r="I108" t="s">
        <v>30</v>
      </c>
      <c r="J108" t="s">
        <v>18</v>
      </c>
      <c r="K108">
        <v>72000</v>
      </c>
      <c r="M108" t="str">
        <f>IF(Table1_1[[#This Row],[Exit_Date]]="","Active","Exited")</f>
        <v>Active</v>
      </c>
      <c r="N108">
        <f>IF(Table1_1[[#This Row],[Employee_Status]]="Exited",1,0)</f>
        <v>0</v>
      </c>
      <c r="O108">
        <f>IF(Table1_1[[#This Row],[Employee_Status]]="Active",1,0)</f>
        <v>1</v>
      </c>
      <c r="P108" s="2">
        <f ca="1">IF(Table1_1[[#This Row],[Employee_Status]]="Active",YEARFRAC(Table1_1[[#This Row],[Join_Date]],TODAY()),YEARFRAC(Table1_1[[#This Row],[Join_Date]],Table1_1[[#This Row],[Exit_Date]]))</f>
        <v>7.8888888888888893</v>
      </c>
      <c r="Q108" s="3">
        <f ca="1">YEARFRAC(Table1_1[[#This Row],[Date_of_Birth]],TODAY())</f>
        <v>33.616666666666667</v>
      </c>
      <c r="R108">
        <f>YEAR(Table1_1[[#This Row],[Join_Date]])</f>
        <v>2018</v>
      </c>
      <c r="S108" t="str">
        <f>TEXT(Table1_1[[#This Row],[Join_Date]],"yyyy-mm")</f>
        <v>2018-03</v>
      </c>
      <c r="T108" t="str">
        <f>IF(Table1_1[[#This Row],[Exit_Date]]="","",YEAR(Table1_1[[#This Row],[Exit_Date]]))</f>
        <v/>
      </c>
      <c r="U108" t="str">
        <f>IF(Table1_1[[#This Row],[Exit_Date]]="","",TEXT(Table1_1[[#This Row],[Exit_Date]],"yyyy-mm"))</f>
        <v/>
      </c>
      <c r="V108">
        <f>IF(Table1_1[[#This Row],[Employment_Type]]="Contract",1,0)</f>
        <v>0</v>
      </c>
    </row>
    <row r="109" spans="1:22" x14ac:dyDescent="0.3">
      <c r="A109" t="s">
        <v>289</v>
      </c>
      <c r="B109" t="s">
        <v>290</v>
      </c>
      <c r="C109" t="s">
        <v>21</v>
      </c>
      <c r="D109" s="1">
        <v>35889</v>
      </c>
      <c r="E109" s="1">
        <v>44573</v>
      </c>
      <c r="F109" s="1"/>
      <c r="G109" t="s">
        <v>22</v>
      </c>
      <c r="H109" t="s">
        <v>16</v>
      </c>
      <c r="I109" t="s">
        <v>160</v>
      </c>
      <c r="J109" t="s">
        <v>48</v>
      </c>
      <c r="K109">
        <v>30000</v>
      </c>
      <c r="M109" t="str">
        <f>IF(Table1_1[[#This Row],[Exit_Date]]="","Active","Exited")</f>
        <v>Active</v>
      </c>
      <c r="N109">
        <f>IF(Table1_1[[#This Row],[Employee_Status]]="Exited",1,0)</f>
        <v>0</v>
      </c>
      <c r="O109">
        <f>IF(Table1_1[[#This Row],[Employee_Status]]="Active",1,0)</f>
        <v>1</v>
      </c>
      <c r="P109" s="2">
        <f ca="1">IF(Table1_1[[#This Row],[Employee_Status]]="Active",YEARFRAC(Table1_1[[#This Row],[Join_Date]],TODAY()),YEARFRAC(Table1_1[[#This Row],[Join_Date]],Table1_1[[#This Row],[Exit_Date]]))</f>
        <v>4.072222222222222</v>
      </c>
      <c r="Q109" s="3">
        <f ca="1">YEARFRAC(Table1_1[[#This Row],[Date_of_Birth]],TODAY())</f>
        <v>27.844444444444445</v>
      </c>
      <c r="R109">
        <f>YEAR(Table1_1[[#This Row],[Join_Date]])</f>
        <v>2022</v>
      </c>
      <c r="S109" t="str">
        <f>TEXT(Table1_1[[#This Row],[Join_Date]],"yyyy-mm")</f>
        <v>2022-01</v>
      </c>
      <c r="T109" t="str">
        <f>IF(Table1_1[[#This Row],[Exit_Date]]="","",YEAR(Table1_1[[#This Row],[Exit_Date]]))</f>
        <v/>
      </c>
      <c r="U109" t="str">
        <f>IF(Table1_1[[#This Row],[Exit_Date]]="","",TEXT(Table1_1[[#This Row],[Exit_Date]],"yyyy-mm"))</f>
        <v/>
      </c>
      <c r="V109">
        <f>IF(Table1_1[[#This Row],[Employment_Type]]="Contract",1,0)</f>
        <v>1</v>
      </c>
    </row>
    <row r="110" spans="1:22" x14ac:dyDescent="0.3">
      <c r="A110" t="s">
        <v>291</v>
      </c>
      <c r="B110" t="s">
        <v>292</v>
      </c>
      <c r="C110" t="s">
        <v>14</v>
      </c>
      <c r="D110" s="1">
        <v>32039</v>
      </c>
      <c r="E110" s="1">
        <v>42192</v>
      </c>
      <c r="F110" s="1"/>
      <c r="G110" t="s">
        <v>43</v>
      </c>
      <c r="H110" t="s">
        <v>29</v>
      </c>
      <c r="I110" t="s">
        <v>293</v>
      </c>
      <c r="J110" t="s">
        <v>18</v>
      </c>
      <c r="K110">
        <v>86000</v>
      </c>
      <c r="M110" t="str">
        <f>IF(Table1_1[[#This Row],[Exit_Date]]="","Active","Exited")</f>
        <v>Active</v>
      </c>
      <c r="N110">
        <f>IF(Table1_1[[#This Row],[Employee_Status]]="Exited",1,0)</f>
        <v>0</v>
      </c>
      <c r="O110">
        <f>IF(Table1_1[[#This Row],[Employee_Status]]="Active",1,0)</f>
        <v>1</v>
      </c>
      <c r="P110" s="2">
        <f ca="1">IF(Table1_1[[#This Row],[Employee_Status]]="Active",YEARFRAC(Table1_1[[#This Row],[Join_Date]],TODAY()),YEARFRAC(Table1_1[[#This Row],[Join_Date]],Table1_1[[#This Row],[Exit_Date]]))</f>
        <v>10.58611111111111</v>
      </c>
      <c r="Q110" s="3">
        <f ca="1">YEARFRAC(Table1_1[[#This Row],[Date_of_Birth]],TODAY())</f>
        <v>38.386111111111113</v>
      </c>
      <c r="R110">
        <f>YEAR(Table1_1[[#This Row],[Join_Date]])</f>
        <v>2015</v>
      </c>
      <c r="S110" t="str">
        <f>TEXT(Table1_1[[#This Row],[Join_Date]],"yyyy-mm")</f>
        <v>2015-07</v>
      </c>
      <c r="T110" t="str">
        <f>IF(Table1_1[[#This Row],[Exit_Date]]="","",YEAR(Table1_1[[#This Row],[Exit_Date]]))</f>
        <v/>
      </c>
      <c r="U110" t="str">
        <f>IF(Table1_1[[#This Row],[Exit_Date]]="","",TEXT(Table1_1[[#This Row],[Exit_Date]],"yyyy-mm"))</f>
        <v/>
      </c>
      <c r="V110">
        <f>IF(Table1_1[[#This Row],[Employment_Type]]="Contract",1,0)</f>
        <v>0</v>
      </c>
    </row>
    <row r="111" spans="1:22" x14ac:dyDescent="0.3">
      <c r="A111" t="s">
        <v>294</v>
      </c>
      <c r="B111" t="s">
        <v>295</v>
      </c>
      <c r="C111" t="s">
        <v>21</v>
      </c>
      <c r="D111" s="1">
        <v>34637</v>
      </c>
      <c r="E111" s="1">
        <v>43702</v>
      </c>
      <c r="F111" s="1"/>
      <c r="G111" t="s">
        <v>33</v>
      </c>
      <c r="H111" t="s">
        <v>23</v>
      </c>
      <c r="I111" t="s">
        <v>85</v>
      </c>
      <c r="J111" t="s">
        <v>18</v>
      </c>
      <c r="K111">
        <v>61000</v>
      </c>
      <c r="M111" t="str">
        <f>IF(Table1_1[[#This Row],[Exit_Date]]="","Active","Exited")</f>
        <v>Active</v>
      </c>
      <c r="N111">
        <f>IF(Table1_1[[#This Row],[Employee_Status]]="Exited",1,0)</f>
        <v>0</v>
      </c>
      <c r="O111">
        <f>IF(Table1_1[[#This Row],[Employee_Status]]="Active",1,0)</f>
        <v>1</v>
      </c>
      <c r="P111" s="2">
        <f ca="1">IF(Table1_1[[#This Row],[Employee_Status]]="Active",YEARFRAC(Table1_1[[#This Row],[Join_Date]],TODAY()),YEARFRAC(Table1_1[[#This Row],[Join_Date]],Table1_1[[#This Row],[Exit_Date]]))</f>
        <v>6.4527777777777775</v>
      </c>
      <c r="Q111" s="3">
        <f ca="1">YEARFRAC(Table1_1[[#This Row],[Date_of_Birth]],TODAY())</f>
        <v>31.272222222222222</v>
      </c>
      <c r="R111">
        <f>YEAR(Table1_1[[#This Row],[Join_Date]])</f>
        <v>2019</v>
      </c>
      <c r="S111" t="str">
        <f>TEXT(Table1_1[[#This Row],[Join_Date]],"yyyy-mm")</f>
        <v>2019-08</v>
      </c>
      <c r="T111" t="str">
        <f>IF(Table1_1[[#This Row],[Exit_Date]]="","",YEAR(Table1_1[[#This Row],[Exit_Date]]))</f>
        <v/>
      </c>
      <c r="U111" t="str">
        <f>IF(Table1_1[[#This Row],[Exit_Date]]="","",TEXT(Table1_1[[#This Row],[Exit_Date]],"yyyy-mm"))</f>
        <v/>
      </c>
      <c r="V111">
        <f>IF(Table1_1[[#This Row],[Employment_Type]]="Contract",1,0)</f>
        <v>0</v>
      </c>
    </row>
    <row r="112" spans="1:22" x14ac:dyDescent="0.3">
      <c r="A112" t="s">
        <v>296</v>
      </c>
      <c r="B112" t="s">
        <v>297</v>
      </c>
      <c r="C112" t="s">
        <v>14</v>
      </c>
      <c r="D112" s="1">
        <v>32887</v>
      </c>
      <c r="E112" s="1">
        <v>42826</v>
      </c>
      <c r="F112" s="1"/>
      <c r="G112" t="s">
        <v>28</v>
      </c>
      <c r="H112" t="s">
        <v>29</v>
      </c>
      <c r="I112" t="s">
        <v>298</v>
      </c>
      <c r="J112" t="s">
        <v>18</v>
      </c>
      <c r="K112">
        <v>94000</v>
      </c>
      <c r="M112" t="str">
        <f>IF(Table1_1[[#This Row],[Exit_Date]]="","Active","Exited")</f>
        <v>Active</v>
      </c>
      <c r="N112">
        <f>IF(Table1_1[[#This Row],[Employee_Status]]="Exited",1,0)</f>
        <v>0</v>
      </c>
      <c r="O112">
        <f>IF(Table1_1[[#This Row],[Employee_Status]]="Active",1,0)</f>
        <v>1</v>
      </c>
      <c r="P112" s="2">
        <f ca="1">IF(Table1_1[[#This Row],[Employee_Status]]="Active",YEARFRAC(Table1_1[[#This Row],[Join_Date]],TODAY()),YEARFRAC(Table1_1[[#This Row],[Join_Date]],Table1_1[[#This Row],[Exit_Date]]))</f>
        <v>8.8527777777777779</v>
      </c>
      <c r="Q112" s="3">
        <f ca="1">YEARFRAC(Table1_1[[#This Row],[Date_of_Birth]],TODAY())</f>
        <v>36.06666666666667</v>
      </c>
      <c r="R112">
        <f>YEAR(Table1_1[[#This Row],[Join_Date]])</f>
        <v>2017</v>
      </c>
      <c r="S112" t="str">
        <f>TEXT(Table1_1[[#This Row],[Join_Date]],"yyyy-mm")</f>
        <v>2017-04</v>
      </c>
      <c r="T112" t="str">
        <f>IF(Table1_1[[#This Row],[Exit_Date]]="","",YEAR(Table1_1[[#This Row],[Exit_Date]]))</f>
        <v/>
      </c>
      <c r="U112" t="str">
        <f>IF(Table1_1[[#This Row],[Exit_Date]]="","",TEXT(Table1_1[[#This Row],[Exit_Date]],"yyyy-mm"))</f>
        <v/>
      </c>
      <c r="V112">
        <f>IF(Table1_1[[#This Row],[Employment_Type]]="Contract",1,0)</f>
        <v>0</v>
      </c>
    </row>
    <row r="113" spans="1:22" x14ac:dyDescent="0.3">
      <c r="A113" t="s">
        <v>299</v>
      </c>
      <c r="B113" t="s">
        <v>300</v>
      </c>
      <c r="C113" t="s">
        <v>21</v>
      </c>
      <c r="D113" s="1">
        <v>35190</v>
      </c>
      <c r="E113" s="1">
        <v>44083</v>
      </c>
      <c r="F113" s="1"/>
      <c r="G113" t="s">
        <v>22</v>
      </c>
      <c r="H113" t="s">
        <v>16</v>
      </c>
      <c r="I113" t="s">
        <v>301</v>
      </c>
      <c r="J113" t="s">
        <v>18</v>
      </c>
      <c r="K113">
        <v>41000</v>
      </c>
      <c r="M113" t="str">
        <f>IF(Table1_1[[#This Row],[Exit_Date]]="","Active","Exited")</f>
        <v>Active</v>
      </c>
      <c r="N113">
        <f>IF(Table1_1[[#This Row],[Employee_Status]]="Exited",1,0)</f>
        <v>0</v>
      </c>
      <c r="O113">
        <f>IF(Table1_1[[#This Row],[Employee_Status]]="Active",1,0)</f>
        <v>1</v>
      </c>
      <c r="P113" s="2">
        <f ca="1">IF(Table1_1[[#This Row],[Employee_Status]]="Active",YEARFRAC(Table1_1[[#This Row],[Join_Date]],TODAY()),YEARFRAC(Table1_1[[#This Row],[Join_Date]],Table1_1[[#This Row],[Exit_Date]]))</f>
        <v>5.4138888888888888</v>
      </c>
      <c r="Q113" s="3">
        <f ca="1">YEARFRAC(Table1_1[[#This Row],[Date_of_Birth]],TODAY())</f>
        <v>29.758333333333333</v>
      </c>
      <c r="R113">
        <f>YEAR(Table1_1[[#This Row],[Join_Date]])</f>
        <v>2020</v>
      </c>
      <c r="S113" t="str">
        <f>TEXT(Table1_1[[#This Row],[Join_Date]],"yyyy-mm")</f>
        <v>2020-09</v>
      </c>
      <c r="T113" t="str">
        <f>IF(Table1_1[[#This Row],[Exit_Date]]="","",YEAR(Table1_1[[#This Row],[Exit_Date]]))</f>
        <v/>
      </c>
      <c r="U113" t="str">
        <f>IF(Table1_1[[#This Row],[Exit_Date]]="","",TEXT(Table1_1[[#This Row],[Exit_Date]],"yyyy-mm"))</f>
        <v/>
      </c>
      <c r="V113">
        <f>IF(Table1_1[[#This Row],[Employment_Type]]="Contract",1,0)</f>
        <v>0</v>
      </c>
    </row>
    <row r="114" spans="1:22" x14ac:dyDescent="0.3">
      <c r="A114" t="s">
        <v>302</v>
      </c>
      <c r="B114" t="s">
        <v>303</v>
      </c>
      <c r="C114" t="s">
        <v>14</v>
      </c>
      <c r="D114" s="1">
        <v>32495</v>
      </c>
      <c r="E114" s="1">
        <v>42685</v>
      </c>
      <c r="F114" s="1"/>
      <c r="G114" t="s">
        <v>43</v>
      </c>
      <c r="H114" t="s">
        <v>23</v>
      </c>
      <c r="I114" t="s">
        <v>304</v>
      </c>
      <c r="J114" t="s">
        <v>18</v>
      </c>
      <c r="K114">
        <v>70000</v>
      </c>
      <c r="M114" t="str">
        <f>IF(Table1_1[[#This Row],[Exit_Date]]="","Active","Exited")</f>
        <v>Active</v>
      </c>
      <c r="N114">
        <f>IF(Table1_1[[#This Row],[Employee_Status]]="Exited",1,0)</f>
        <v>0</v>
      </c>
      <c r="O114">
        <f>IF(Table1_1[[#This Row],[Employee_Status]]="Active",1,0)</f>
        <v>1</v>
      </c>
      <c r="P114" s="2">
        <f ca="1">IF(Table1_1[[#This Row],[Employee_Status]]="Active",YEARFRAC(Table1_1[[#This Row],[Join_Date]],TODAY()),YEARFRAC(Table1_1[[#This Row],[Join_Date]],Table1_1[[#This Row],[Exit_Date]]))</f>
        <v>9.2416666666666671</v>
      </c>
      <c r="Q114" s="3">
        <f ca="1">YEARFRAC(Table1_1[[#This Row],[Date_of_Birth]],TODAY())</f>
        <v>37.138888888888886</v>
      </c>
      <c r="R114">
        <f>YEAR(Table1_1[[#This Row],[Join_Date]])</f>
        <v>2016</v>
      </c>
      <c r="S114" t="str">
        <f>TEXT(Table1_1[[#This Row],[Join_Date]],"yyyy-mm")</f>
        <v>2016-11</v>
      </c>
      <c r="T114" t="str">
        <f>IF(Table1_1[[#This Row],[Exit_Date]]="","",YEAR(Table1_1[[#This Row],[Exit_Date]]))</f>
        <v/>
      </c>
      <c r="U114" t="str">
        <f>IF(Table1_1[[#This Row],[Exit_Date]]="","",TEXT(Table1_1[[#This Row],[Exit_Date]],"yyyy-mm"))</f>
        <v/>
      </c>
      <c r="V114">
        <f>IF(Table1_1[[#This Row],[Employment_Type]]="Contract",1,0)</f>
        <v>0</v>
      </c>
    </row>
    <row r="115" spans="1:22" x14ac:dyDescent="0.3">
      <c r="A115" t="s">
        <v>305</v>
      </c>
      <c r="B115" t="s">
        <v>306</v>
      </c>
      <c r="C115" t="s">
        <v>21</v>
      </c>
      <c r="D115" s="1">
        <v>36368</v>
      </c>
      <c r="E115" s="1">
        <v>44805</v>
      </c>
      <c r="F115" s="1"/>
      <c r="G115" t="s">
        <v>33</v>
      </c>
      <c r="H115" t="s">
        <v>16</v>
      </c>
      <c r="I115" t="s">
        <v>307</v>
      </c>
      <c r="J115" t="s">
        <v>48</v>
      </c>
      <c r="K115">
        <v>32000</v>
      </c>
      <c r="M115" t="str">
        <f>IF(Table1_1[[#This Row],[Exit_Date]]="","Active","Exited")</f>
        <v>Active</v>
      </c>
      <c r="N115">
        <f>IF(Table1_1[[#This Row],[Employee_Status]]="Exited",1,0)</f>
        <v>0</v>
      </c>
      <c r="O115">
        <f>IF(Table1_1[[#This Row],[Employee_Status]]="Active",1,0)</f>
        <v>1</v>
      </c>
      <c r="P115" s="2">
        <f ca="1">IF(Table1_1[[#This Row],[Employee_Status]]="Active",YEARFRAC(Table1_1[[#This Row],[Join_Date]],TODAY()),YEARFRAC(Table1_1[[#This Row],[Join_Date]],Table1_1[[#This Row],[Exit_Date]]))</f>
        <v>3.4361111111111109</v>
      </c>
      <c r="Q115" s="3">
        <f ca="1">YEARFRAC(Table1_1[[#This Row],[Date_of_Birth]],TODAY())</f>
        <v>26.530555555555555</v>
      </c>
      <c r="R115">
        <f>YEAR(Table1_1[[#This Row],[Join_Date]])</f>
        <v>2022</v>
      </c>
      <c r="S115" t="str">
        <f>TEXT(Table1_1[[#This Row],[Join_Date]],"yyyy-mm")</f>
        <v>2022-09</v>
      </c>
      <c r="T115" t="str">
        <f>IF(Table1_1[[#This Row],[Exit_Date]]="","",YEAR(Table1_1[[#This Row],[Exit_Date]]))</f>
        <v/>
      </c>
      <c r="U115" t="str">
        <f>IF(Table1_1[[#This Row],[Exit_Date]]="","",TEXT(Table1_1[[#This Row],[Exit_Date]],"yyyy-mm"))</f>
        <v/>
      </c>
      <c r="V115">
        <f>IF(Table1_1[[#This Row],[Employment_Type]]="Contract",1,0)</f>
        <v>1</v>
      </c>
    </row>
    <row r="116" spans="1:22" x14ac:dyDescent="0.3">
      <c r="A116" t="s">
        <v>308</v>
      </c>
      <c r="B116" t="s">
        <v>309</v>
      </c>
      <c r="C116" t="s">
        <v>14</v>
      </c>
      <c r="D116" s="1">
        <v>31299</v>
      </c>
      <c r="E116" s="1">
        <v>40983</v>
      </c>
      <c r="F116" s="1"/>
      <c r="G116" t="s">
        <v>28</v>
      </c>
      <c r="H116" t="s">
        <v>44</v>
      </c>
      <c r="I116" t="s">
        <v>310</v>
      </c>
      <c r="J116" t="s">
        <v>18</v>
      </c>
      <c r="K116">
        <v>112000</v>
      </c>
      <c r="M116" t="str">
        <f>IF(Table1_1[[#This Row],[Exit_Date]]="","Active","Exited")</f>
        <v>Active</v>
      </c>
      <c r="N116">
        <f>IF(Table1_1[[#This Row],[Employee_Status]]="Exited",1,0)</f>
        <v>0</v>
      </c>
      <c r="O116">
        <f>IF(Table1_1[[#This Row],[Employee_Status]]="Active",1,0)</f>
        <v>1</v>
      </c>
      <c r="P116" s="2">
        <f ca="1">IF(Table1_1[[#This Row],[Employee_Status]]="Active",YEARFRAC(Table1_1[[#This Row],[Join_Date]],TODAY()),YEARFRAC(Table1_1[[#This Row],[Join_Date]],Table1_1[[#This Row],[Exit_Date]]))</f>
        <v>13.897222222222222</v>
      </c>
      <c r="Q116" s="3">
        <f ca="1">YEARFRAC(Table1_1[[#This Row],[Date_of_Birth]],TODAY())</f>
        <v>40.413888888888891</v>
      </c>
      <c r="R116">
        <f>YEAR(Table1_1[[#This Row],[Join_Date]])</f>
        <v>2012</v>
      </c>
      <c r="S116" t="str">
        <f>TEXT(Table1_1[[#This Row],[Join_Date]],"yyyy-mm")</f>
        <v>2012-03</v>
      </c>
      <c r="T116" t="str">
        <f>IF(Table1_1[[#This Row],[Exit_Date]]="","",YEAR(Table1_1[[#This Row],[Exit_Date]]))</f>
        <v/>
      </c>
      <c r="U116" t="str">
        <f>IF(Table1_1[[#This Row],[Exit_Date]]="","",TEXT(Table1_1[[#This Row],[Exit_Date]],"yyyy-mm"))</f>
        <v/>
      </c>
      <c r="V116">
        <f>IF(Table1_1[[#This Row],[Employment_Type]]="Contract",1,0)</f>
        <v>0</v>
      </c>
    </row>
    <row r="117" spans="1:22" x14ac:dyDescent="0.3">
      <c r="A117" t="s">
        <v>311</v>
      </c>
      <c r="B117" t="s">
        <v>312</v>
      </c>
      <c r="C117" t="s">
        <v>21</v>
      </c>
      <c r="D117" s="1">
        <v>35483</v>
      </c>
      <c r="E117" s="1">
        <v>44395</v>
      </c>
      <c r="F117" s="1"/>
      <c r="G117" t="s">
        <v>22</v>
      </c>
      <c r="H117" t="s">
        <v>16</v>
      </c>
      <c r="I117" t="s">
        <v>313</v>
      </c>
      <c r="J117" t="s">
        <v>18</v>
      </c>
      <c r="K117">
        <v>38000</v>
      </c>
      <c r="M117" t="str">
        <f>IF(Table1_1[[#This Row],[Exit_Date]]="","Active","Exited")</f>
        <v>Active</v>
      </c>
      <c r="N117">
        <f>IF(Table1_1[[#This Row],[Employee_Status]]="Exited",1,0)</f>
        <v>0</v>
      </c>
      <c r="O117">
        <f>IF(Table1_1[[#This Row],[Employee_Status]]="Active",1,0)</f>
        <v>1</v>
      </c>
      <c r="P117" s="2">
        <f ca="1">IF(Table1_1[[#This Row],[Employee_Status]]="Active",YEARFRAC(Table1_1[[#This Row],[Join_Date]],TODAY()),YEARFRAC(Table1_1[[#This Row],[Join_Date]],Table1_1[[#This Row],[Exit_Date]]))</f>
        <v>4.5555555555555554</v>
      </c>
      <c r="Q117" s="3">
        <f ca="1">YEARFRAC(Table1_1[[#This Row],[Date_of_Birth]],TODAY())</f>
        <v>28.961111111111112</v>
      </c>
      <c r="R117">
        <f>YEAR(Table1_1[[#This Row],[Join_Date]])</f>
        <v>2021</v>
      </c>
      <c r="S117" t="str">
        <f>TEXT(Table1_1[[#This Row],[Join_Date]],"yyyy-mm")</f>
        <v>2021-07</v>
      </c>
      <c r="T117" t="str">
        <f>IF(Table1_1[[#This Row],[Exit_Date]]="","",YEAR(Table1_1[[#This Row],[Exit_Date]]))</f>
        <v/>
      </c>
      <c r="U117" t="str">
        <f>IF(Table1_1[[#This Row],[Exit_Date]]="","",TEXT(Table1_1[[#This Row],[Exit_Date]],"yyyy-mm"))</f>
        <v/>
      </c>
      <c r="V117">
        <f>IF(Table1_1[[#This Row],[Employment_Type]]="Contract",1,0)</f>
        <v>0</v>
      </c>
    </row>
    <row r="118" spans="1:22" x14ac:dyDescent="0.3">
      <c r="A118" t="s">
        <v>314</v>
      </c>
      <c r="B118" t="s">
        <v>315</v>
      </c>
      <c r="C118" t="s">
        <v>14</v>
      </c>
      <c r="D118" s="1">
        <v>30682</v>
      </c>
      <c r="E118" s="1">
        <v>40096</v>
      </c>
      <c r="F118" s="1"/>
      <c r="G118" t="s">
        <v>43</v>
      </c>
      <c r="H118" t="s">
        <v>88</v>
      </c>
      <c r="I118" t="s">
        <v>316</v>
      </c>
      <c r="J118" t="s">
        <v>18</v>
      </c>
      <c r="K118">
        <v>168000</v>
      </c>
      <c r="M118" t="str">
        <f>IF(Table1_1[[#This Row],[Exit_Date]]="","Active","Exited")</f>
        <v>Active</v>
      </c>
      <c r="N118">
        <f>IF(Table1_1[[#This Row],[Employee_Status]]="Exited",1,0)</f>
        <v>0</v>
      </c>
      <c r="O118">
        <f>IF(Table1_1[[#This Row],[Employee_Status]]="Active",1,0)</f>
        <v>1</v>
      </c>
      <c r="P118" s="2">
        <f ca="1">IF(Table1_1[[#This Row],[Employee_Status]]="Active",YEARFRAC(Table1_1[[#This Row],[Join_Date]],TODAY()),YEARFRAC(Table1_1[[#This Row],[Join_Date]],Table1_1[[#This Row],[Exit_Date]]))</f>
        <v>16.327777777777779</v>
      </c>
      <c r="Q118" s="3">
        <f ca="1">YEARFRAC(Table1_1[[#This Row],[Date_of_Birth]],TODAY())</f>
        <v>42.102777777777774</v>
      </c>
      <c r="R118">
        <f>YEAR(Table1_1[[#This Row],[Join_Date]])</f>
        <v>2009</v>
      </c>
      <c r="S118" t="str">
        <f>TEXT(Table1_1[[#This Row],[Join_Date]],"yyyy-mm")</f>
        <v>2009-10</v>
      </c>
      <c r="T118" t="str">
        <f>IF(Table1_1[[#This Row],[Exit_Date]]="","",YEAR(Table1_1[[#This Row],[Exit_Date]]))</f>
        <v/>
      </c>
      <c r="U118" t="str">
        <f>IF(Table1_1[[#This Row],[Exit_Date]]="","",TEXT(Table1_1[[#This Row],[Exit_Date]],"yyyy-mm"))</f>
        <v/>
      </c>
      <c r="V118">
        <f>IF(Table1_1[[#This Row],[Employment_Type]]="Contract",1,0)</f>
        <v>0</v>
      </c>
    </row>
    <row r="119" spans="1:22" x14ac:dyDescent="0.3">
      <c r="A119" t="s">
        <v>317</v>
      </c>
      <c r="B119" t="s">
        <v>318</v>
      </c>
      <c r="C119" t="s">
        <v>21</v>
      </c>
      <c r="D119" s="1">
        <v>34862</v>
      </c>
      <c r="E119" s="1">
        <v>43926</v>
      </c>
      <c r="F119" s="1"/>
      <c r="G119" t="s">
        <v>33</v>
      </c>
      <c r="H119" t="s">
        <v>23</v>
      </c>
      <c r="I119" t="s">
        <v>319</v>
      </c>
      <c r="J119" t="s">
        <v>18</v>
      </c>
      <c r="K119">
        <v>62000</v>
      </c>
      <c r="M119" t="str">
        <f>IF(Table1_1[[#This Row],[Exit_Date]]="","Active","Exited")</f>
        <v>Active</v>
      </c>
      <c r="N119">
        <f>IF(Table1_1[[#This Row],[Employee_Status]]="Exited",1,0)</f>
        <v>0</v>
      </c>
      <c r="O119">
        <f>IF(Table1_1[[#This Row],[Employee_Status]]="Active",1,0)</f>
        <v>1</v>
      </c>
      <c r="P119" s="2">
        <f ca="1">IF(Table1_1[[#This Row],[Employee_Status]]="Active",YEARFRAC(Table1_1[[#This Row],[Join_Date]],TODAY()),YEARFRAC(Table1_1[[#This Row],[Join_Date]],Table1_1[[#This Row],[Exit_Date]]))</f>
        <v>5.8416666666666668</v>
      </c>
      <c r="Q119" s="3">
        <f ca="1">YEARFRAC(Table1_1[[#This Row],[Date_of_Birth]],TODAY())</f>
        <v>30.655555555555555</v>
      </c>
      <c r="R119">
        <f>YEAR(Table1_1[[#This Row],[Join_Date]])</f>
        <v>2020</v>
      </c>
      <c r="S119" t="str">
        <f>TEXT(Table1_1[[#This Row],[Join_Date]],"yyyy-mm")</f>
        <v>2020-04</v>
      </c>
      <c r="T119" t="str">
        <f>IF(Table1_1[[#This Row],[Exit_Date]]="","",YEAR(Table1_1[[#This Row],[Exit_Date]]))</f>
        <v/>
      </c>
      <c r="U119" t="str">
        <f>IF(Table1_1[[#This Row],[Exit_Date]]="","",TEXT(Table1_1[[#This Row],[Exit_Date]],"yyyy-mm"))</f>
        <v/>
      </c>
      <c r="V119">
        <f>IF(Table1_1[[#This Row],[Employment_Type]]="Contract",1,0)</f>
        <v>0</v>
      </c>
    </row>
    <row r="120" spans="1:22" x14ac:dyDescent="0.3">
      <c r="A120" t="s">
        <v>320</v>
      </c>
      <c r="B120" t="s">
        <v>321</v>
      </c>
      <c r="C120" t="s">
        <v>14</v>
      </c>
      <c r="D120" s="1">
        <v>33478</v>
      </c>
      <c r="E120" s="1">
        <v>43313</v>
      </c>
      <c r="F120" s="1"/>
      <c r="G120" t="s">
        <v>28</v>
      </c>
      <c r="H120" t="s">
        <v>16</v>
      </c>
      <c r="I120" t="s">
        <v>322</v>
      </c>
      <c r="J120" t="s">
        <v>18</v>
      </c>
      <c r="K120">
        <v>48000</v>
      </c>
      <c r="M120" t="str">
        <f>IF(Table1_1[[#This Row],[Exit_Date]]="","Active","Exited")</f>
        <v>Active</v>
      </c>
      <c r="N120">
        <f>IF(Table1_1[[#This Row],[Employee_Status]]="Exited",1,0)</f>
        <v>0</v>
      </c>
      <c r="O120">
        <f>IF(Table1_1[[#This Row],[Employee_Status]]="Active",1,0)</f>
        <v>1</v>
      </c>
      <c r="P120" s="2">
        <f ca="1">IF(Table1_1[[#This Row],[Employee_Status]]="Active",YEARFRAC(Table1_1[[#This Row],[Join_Date]],TODAY()),YEARFRAC(Table1_1[[#This Row],[Join_Date]],Table1_1[[#This Row],[Exit_Date]]))</f>
        <v>7.5194444444444448</v>
      </c>
      <c r="Q120" s="3">
        <f ca="1">YEARFRAC(Table1_1[[#This Row],[Date_of_Birth]],TODAY())</f>
        <v>34.444444444444443</v>
      </c>
      <c r="R120">
        <f>YEAR(Table1_1[[#This Row],[Join_Date]])</f>
        <v>2018</v>
      </c>
      <c r="S120" t="str">
        <f>TEXT(Table1_1[[#This Row],[Join_Date]],"yyyy-mm")</f>
        <v>2018-08</v>
      </c>
      <c r="T120" t="str">
        <f>IF(Table1_1[[#This Row],[Exit_Date]]="","",YEAR(Table1_1[[#This Row],[Exit_Date]]))</f>
        <v/>
      </c>
      <c r="U120" t="str">
        <f>IF(Table1_1[[#This Row],[Exit_Date]]="","",TEXT(Table1_1[[#This Row],[Exit_Date]],"yyyy-mm"))</f>
        <v/>
      </c>
      <c r="V120">
        <f>IF(Table1_1[[#This Row],[Employment_Type]]="Contract",1,0)</f>
        <v>0</v>
      </c>
    </row>
    <row r="121" spans="1:22" x14ac:dyDescent="0.3">
      <c r="A121" t="s">
        <v>323</v>
      </c>
      <c r="B121" t="s">
        <v>324</v>
      </c>
      <c r="C121" t="s">
        <v>21</v>
      </c>
      <c r="D121" s="1">
        <v>35811</v>
      </c>
      <c r="E121" s="1">
        <v>44581</v>
      </c>
      <c r="F121" s="1"/>
      <c r="G121" t="s">
        <v>22</v>
      </c>
      <c r="H121" t="s">
        <v>16</v>
      </c>
      <c r="I121" t="s">
        <v>325</v>
      </c>
      <c r="J121" t="s">
        <v>48</v>
      </c>
      <c r="K121">
        <v>31000</v>
      </c>
      <c r="M121" t="str">
        <f>IF(Table1_1[[#This Row],[Exit_Date]]="","Active","Exited")</f>
        <v>Active</v>
      </c>
      <c r="N121">
        <f>IF(Table1_1[[#This Row],[Employee_Status]]="Exited",1,0)</f>
        <v>0</v>
      </c>
      <c r="O121">
        <f>IF(Table1_1[[#This Row],[Employee_Status]]="Active",1,0)</f>
        <v>1</v>
      </c>
      <c r="P121" s="2">
        <f ca="1">IF(Table1_1[[#This Row],[Employee_Status]]="Active",YEARFRAC(Table1_1[[#This Row],[Join_Date]],TODAY()),YEARFRAC(Table1_1[[#This Row],[Join_Date]],Table1_1[[#This Row],[Exit_Date]]))</f>
        <v>4.05</v>
      </c>
      <c r="Q121" s="3">
        <f ca="1">YEARFRAC(Table1_1[[#This Row],[Date_of_Birth]],TODAY())</f>
        <v>28.06111111111111</v>
      </c>
      <c r="R121">
        <f>YEAR(Table1_1[[#This Row],[Join_Date]])</f>
        <v>2022</v>
      </c>
      <c r="S121" t="str">
        <f>TEXT(Table1_1[[#This Row],[Join_Date]],"yyyy-mm")</f>
        <v>2022-01</v>
      </c>
      <c r="T121" t="str">
        <f>IF(Table1_1[[#This Row],[Exit_Date]]="","",YEAR(Table1_1[[#This Row],[Exit_Date]]))</f>
        <v/>
      </c>
      <c r="U121" t="str">
        <f>IF(Table1_1[[#This Row],[Exit_Date]]="","",TEXT(Table1_1[[#This Row],[Exit_Date]],"yyyy-mm"))</f>
        <v/>
      </c>
      <c r="V121">
        <f>IF(Table1_1[[#This Row],[Employment_Type]]="Contract",1,0)</f>
        <v>1</v>
      </c>
    </row>
    <row r="122" spans="1:22" x14ac:dyDescent="0.3">
      <c r="A122" t="s">
        <v>326</v>
      </c>
      <c r="B122" t="s">
        <v>327</v>
      </c>
      <c r="C122" t="s">
        <v>14</v>
      </c>
      <c r="D122" s="1">
        <v>32665</v>
      </c>
      <c r="E122" s="1">
        <v>42716</v>
      </c>
      <c r="F122" s="1"/>
      <c r="G122" t="s">
        <v>43</v>
      </c>
      <c r="H122" t="s">
        <v>29</v>
      </c>
      <c r="I122" t="s">
        <v>328</v>
      </c>
      <c r="J122" t="s">
        <v>18</v>
      </c>
      <c r="K122">
        <v>88000</v>
      </c>
      <c r="M122" t="str">
        <f>IF(Table1_1[[#This Row],[Exit_Date]]="","Active","Exited")</f>
        <v>Active</v>
      </c>
      <c r="N122">
        <f>IF(Table1_1[[#This Row],[Employee_Status]]="Exited",1,0)</f>
        <v>0</v>
      </c>
      <c r="O122">
        <f>IF(Table1_1[[#This Row],[Employee_Status]]="Active",1,0)</f>
        <v>1</v>
      </c>
      <c r="P122" s="2">
        <f ca="1">IF(Table1_1[[#This Row],[Employee_Status]]="Active",YEARFRAC(Table1_1[[#This Row],[Join_Date]],TODAY()),YEARFRAC(Table1_1[[#This Row],[Join_Date]],Table1_1[[#This Row],[Exit_Date]]))</f>
        <v>9.155555555555555</v>
      </c>
      <c r="Q122" s="3">
        <f ca="1">YEARFRAC(Table1_1[[#This Row],[Date_of_Birth]],TODAY())</f>
        <v>36.672222222222224</v>
      </c>
      <c r="R122">
        <f>YEAR(Table1_1[[#This Row],[Join_Date]])</f>
        <v>2016</v>
      </c>
      <c r="S122" t="str">
        <f>TEXT(Table1_1[[#This Row],[Join_Date]],"yyyy-mm")</f>
        <v>2016-12</v>
      </c>
      <c r="T122" t="str">
        <f>IF(Table1_1[[#This Row],[Exit_Date]]="","",YEAR(Table1_1[[#This Row],[Exit_Date]]))</f>
        <v/>
      </c>
      <c r="U122" t="str">
        <f>IF(Table1_1[[#This Row],[Exit_Date]]="","",TEXT(Table1_1[[#This Row],[Exit_Date]],"yyyy-mm"))</f>
        <v/>
      </c>
      <c r="V122">
        <f>IF(Table1_1[[#This Row],[Employment_Type]]="Contract",1,0)</f>
        <v>0</v>
      </c>
    </row>
    <row r="123" spans="1:22" x14ac:dyDescent="0.3">
      <c r="A123" t="s">
        <v>329</v>
      </c>
      <c r="B123" t="s">
        <v>330</v>
      </c>
      <c r="C123" t="s">
        <v>21</v>
      </c>
      <c r="D123" s="1">
        <v>35127</v>
      </c>
      <c r="E123" s="1">
        <v>43966</v>
      </c>
      <c r="F123" s="1"/>
      <c r="G123" t="s">
        <v>33</v>
      </c>
      <c r="H123" t="s">
        <v>16</v>
      </c>
      <c r="I123" t="s">
        <v>331</v>
      </c>
      <c r="J123" t="s">
        <v>18</v>
      </c>
      <c r="K123">
        <v>43000</v>
      </c>
      <c r="M123" t="str">
        <f>IF(Table1_1[[#This Row],[Exit_Date]]="","Active","Exited")</f>
        <v>Active</v>
      </c>
      <c r="N123">
        <f>IF(Table1_1[[#This Row],[Employee_Status]]="Exited",1,0)</f>
        <v>0</v>
      </c>
      <c r="O123">
        <f>IF(Table1_1[[#This Row],[Employee_Status]]="Active",1,0)</f>
        <v>1</v>
      </c>
      <c r="P123" s="2">
        <f ca="1">IF(Table1_1[[#This Row],[Employee_Status]]="Active",YEARFRAC(Table1_1[[#This Row],[Join_Date]],TODAY()),YEARFRAC(Table1_1[[#This Row],[Join_Date]],Table1_1[[#This Row],[Exit_Date]]))</f>
        <v>5.7305555555555552</v>
      </c>
      <c r="Q123" s="3">
        <f ca="1">YEARFRAC(Table1_1[[#This Row],[Date_of_Birth]],TODAY())</f>
        <v>29.930555555555557</v>
      </c>
      <c r="R123">
        <f>YEAR(Table1_1[[#This Row],[Join_Date]])</f>
        <v>2020</v>
      </c>
      <c r="S123" t="str">
        <f>TEXT(Table1_1[[#This Row],[Join_Date]],"yyyy-mm")</f>
        <v>2020-05</v>
      </c>
      <c r="T123" t="str">
        <f>IF(Table1_1[[#This Row],[Exit_Date]]="","",YEAR(Table1_1[[#This Row],[Exit_Date]]))</f>
        <v/>
      </c>
      <c r="U123" t="str">
        <f>IF(Table1_1[[#This Row],[Exit_Date]]="","",TEXT(Table1_1[[#This Row],[Exit_Date]],"yyyy-mm"))</f>
        <v/>
      </c>
      <c r="V123">
        <f>IF(Table1_1[[#This Row],[Employment_Type]]="Contract",1,0)</f>
        <v>0</v>
      </c>
    </row>
    <row r="124" spans="1:22" x14ac:dyDescent="0.3">
      <c r="A124" t="s">
        <v>332</v>
      </c>
      <c r="B124" t="s">
        <v>333</v>
      </c>
      <c r="C124" t="s">
        <v>14</v>
      </c>
      <c r="D124" s="1">
        <v>33927</v>
      </c>
      <c r="E124" s="1">
        <v>43653</v>
      </c>
      <c r="F124" s="1"/>
      <c r="G124" t="s">
        <v>28</v>
      </c>
      <c r="H124" t="s">
        <v>23</v>
      </c>
      <c r="I124" t="s">
        <v>334</v>
      </c>
      <c r="J124" t="s">
        <v>18</v>
      </c>
      <c r="K124">
        <v>69000</v>
      </c>
      <c r="M124" t="str">
        <f>IF(Table1_1[[#This Row],[Exit_Date]]="","Active","Exited")</f>
        <v>Active</v>
      </c>
      <c r="N124">
        <f>IF(Table1_1[[#This Row],[Employee_Status]]="Exited",1,0)</f>
        <v>0</v>
      </c>
      <c r="O124">
        <f>IF(Table1_1[[#This Row],[Employee_Status]]="Active",1,0)</f>
        <v>1</v>
      </c>
      <c r="P124" s="2">
        <f ca="1">IF(Table1_1[[#This Row],[Employee_Status]]="Active",YEARFRAC(Table1_1[[#This Row],[Join_Date]],TODAY()),YEARFRAC(Table1_1[[#This Row],[Join_Date]],Table1_1[[#This Row],[Exit_Date]]))</f>
        <v>6.5861111111111112</v>
      </c>
      <c r="Q124" s="3">
        <f ca="1">YEARFRAC(Table1_1[[#This Row],[Date_of_Birth]],TODAY())</f>
        <v>33.219444444444441</v>
      </c>
      <c r="R124">
        <f>YEAR(Table1_1[[#This Row],[Join_Date]])</f>
        <v>2019</v>
      </c>
      <c r="S124" t="str">
        <f>TEXT(Table1_1[[#This Row],[Join_Date]],"yyyy-mm")</f>
        <v>2019-07</v>
      </c>
      <c r="T124" t="str">
        <f>IF(Table1_1[[#This Row],[Exit_Date]]="","",YEAR(Table1_1[[#This Row],[Exit_Date]]))</f>
        <v/>
      </c>
      <c r="U124" t="str">
        <f>IF(Table1_1[[#This Row],[Exit_Date]]="","",TEXT(Table1_1[[#This Row],[Exit_Date]],"yyyy-mm"))</f>
        <v/>
      </c>
      <c r="V124">
        <f>IF(Table1_1[[#This Row],[Employment_Type]]="Contract",1,0)</f>
        <v>0</v>
      </c>
    </row>
    <row r="125" spans="1:22" x14ac:dyDescent="0.3">
      <c r="A125" t="s">
        <v>335</v>
      </c>
      <c r="B125" t="s">
        <v>336</v>
      </c>
      <c r="C125" t="s">
        <v>21</v>
      </c>
      <c r="D125" s="1">
        <v>36275</v>
      </c>
      <c r="E125" s="1">
        <v>44837</v>
      </c>
      <c r="F125" s="1"/>
      <c r="G125" t="s">
        <v>22</v>
      </c>
      <c r="H125" t="s">
        <v>16</v>
      </c>
      <c r="I125" t="s">
        <v>337</v>
      </c>
      <c r="J125" t="s">
        <v>48</v>
      </c>
      <c r="K125">
        <v>30000</v>
      </c>
      <c r="M125" t="str">
        <f>IF(Table1_1[[#This Row],[Exit_Date]]="","Active","Exited")</f>
        <v>Active</v>
      </c>
      <c r="N125">
        <f>IF(Table1_1[[#This Row],[Employee_Status]]="Exited",1,0)</f>
        <v>0</v>
      </c>
      <c r="O125">
        <f>IF(Table1_1[[#This Row],[Employee_Status]]="Active",1,0)</f>
        <v>1</v>
      </c>
      <c r="P125" s="2">
        <f ca="1">IF(Table1_1[[#This Row],[Employee_Status]]="Active",YEARFRAC(Table1_1[[#This Row],[Join_Date]],TODAY()),YEARFRAC(Table1_1[[#This Row],[Join_Date]],Table1_1[[#This Row],[Exit_Date]]))</f>
        <v>3.3472222222222223</v>
      </c>
      <c r="Q125" s="3">
        <f ca="1">YEARFRAC(Table1_1[[#This Row],[Date_of_Birth]],TODAY())</f>
        <v>26.786111111111111</v>
      </c>
      <c r="R125">
        <f>YEAR(Table1_1[[#This Row],[Join_Date]])</f>
        <v>2022</v>
      </c>
      <c r="S125" t="str">
        <f>TEXT(Table1_1[[#This Row],[Join_Date]],"yyyy-mm")</f>
        <v>2022-10</v>
      </c>
      <c r="T125" t="str">
        <f>IF(Table1_1[[#This Row],[Exit_Date]]="","",YEAR(Table1_1[[#This Row],[Exit_Date]]))</f>
        <v/>
      </c>
      <c r="U125" t="str">
        <f>IF(Table1_1[[#This Row],[Exit_Date]]="","",TEXT(Table1_1[[#This Row],[Exit_Date]],"yyyy-mm"))</f>
        <v/>
      </c>
      <c r="V125">
        <f>IF(Table1_1[[#This Row],[Employment_Type]]="Contract",1,0)</f>
        <v>1</v>
      </c>
    </row>
    <row r="126" spans="1:22" x14ac:dyDescent="0.3">
      <c r="A126" t="s">
        <v>338</v>
      </c>
      <c r="B126" t="s">
        <v>339</v>
      </c>
      <c r="C126" t="s">
        <v>14</v>
      </c>
      <c r="D126" s="1">
        <v>31819</v>
      </c>
      <c r="E126" s="1">
        <v>42005</v>
      </c>
      <c r="F126" s="1"/>
      <c r="G126" t="s">
        <v>43</v>
      </c>
      <c r="H126" t="s">
        <v>44</v>
      </c>
      <c r="I126" t="s">
        <v>340</v>
      </c>
      <c r="J126" t="s">
        <v>18</v>
      </c>
      <c r="K126">
        <v>120000</v>
      </c>
      <c r="M126" t="str">
        <f>IF(Table1_1[[#This Row],[Exit_Date]]="","Active","Exited")</f>
        <v>Active</v>
      </c>
      <c r="N126">
        <f>IF(Table1_1[[#This Row],[Employee_Status]]="Exited",1,0)</f>
        <v>0</v>
      </c>
      <c r="O126">
        <f>IF(Table1_1[[#This Row],[Employee_Status]]="Active",1,0)</f>
        <v>1</v>
      </c>
      <c r="P126" s="2">
        <f ca="1">IF(Table1_1[[#This Row],[Employee_Status]]="Active",YEARFRAC(Table1_1[[#This Row],[Join_Date]],TODAY()),YEARFRAC(Table1_1[[#This Row],[Join_Date]],Table1_1[[#This Row],[Exit_Date]]))</f>
        <v>11.102777777777778</v>
      </c>
      <c r="Q126" s="3">
        <f ca="1">YEARFRAC(Table1_1[[#This Row],[Date_of_Birth]],TODAY())</f>
        <v>38.991666666666667</v>
      </c>
      <c r="R126">
        <f>YEAR(Table1_1[[#This Row],[Join_Date]])</f>
        <v>2015</v>
      </c>
      <c r="S126" t="str">
        <f>TEXT(Table1_1[[#This Row],[Join_Date]],"yyyy-mm")</f>
        <v>2015-01</v>
      </c>
      <c r="T126" t="str">
        <f>IF(Table1_1[[#This Row],[Exit_Date]]="","",YEAR(Table1_1[[#This Row],[Exit_Date]]))</f>
        <v/>
      </c>
      <c r="U126" t="str">
        <f>IF(Table1_1[[#This Row],[Exit_Date]]="","",TEXT(Table1_1[[#This Row],[Exit_Date]],"yyyy-mm"))</f>
        <v/>
      </c>
      <c r="V126">
        <f>IF(Table1_1[[#This Row],[Employment_Type]]="Contract",1,0)</f>
        <v>0</v>
      </c>
    </row>
    <row r="127" spans="1:22" x14ac:dyDescent="0.3">
      <c r="A127" t="s">
        <v>341</v>
      </c>
      <c r="B127" t="s">
        <v>342</v>
      </c>
      <c r="C127" t="s">
        <v>21</v>
      </c>
      <c r="D127" s="1">
        <v>34554</v>
      </c>
      <c r="E127" s="1">
        <v>43717</v>
      </c>
      <c r="F127" s="1"/>
      <c r="G127" t="s">
        <v>33</v>
      </c>
      <c r="H127" t="s">
        <v>29</v>
      </c>
      <c r="I127" t="s">
        <v>343</v>
      </c>
      <c r="J127" t="s">
        <v>18</v>
      </c>
      <c r="K127">
        <v>91000</v>
      </c>
      <c r="M127" t="str">
        <f>IF(Table1_1[[#This Row],[Exit_Date]]="","Active","Exited")</f>
        <v>Active</v>
      </c>
      <c r="N127">
        <f>IF(Table1_1[[#This Row],[Employee_Status]]="Exited",1,0)</f>
        <v>0</v>
      </c>
      <c r="O127">
        <f>IF(Table1_1[[#This Row],[Employee_Status]]="Active",1,0)</f>
        <v>1</v>
      </c>
      <c r="P127" s="2">
        <f ca="1">IF(Table1_1[[#This Row],[Employee_Status]]="Active",YEARFRAC(Table1_1[[#This Row],[Join_Date]],TODAY()),YEARFRAC(Table1_1[[#This Row],[Join_Date]],Table1_1[[#This Row],[Exit_Date]]))</f>
        <v>6.4138888888888888</v>
      </c>
      <c r="Q127" s="3">
        <f ca="1">YEARFRAC(Table1_1[[#This Row],[Date_of_Birth]],TODAY())</f>
        <v>31.5</v>
      </c>
      <c r="R127">
        <f>YEAR(Table1_1[[#This Row],[Join_Date]])</f>
        <v>2019</v>
      </c>
      <c r="S127" t="str">
        <f>TEXT(Table1_1[[#This Row],[Join_Date]],"yyyy-mm")</f>
        <v>2019-09</v>
      </c>
      <c r="T127" t="str">
        <f>IF(Table1_1[[#This Row],[Exit_Date]]="","",YEAR(Table1_1[[#This Row],[Exit_Date]]))</f>
        <v/>
      </c>
      <c r="U127" t="str">
        <f>IF(Table1_1[[#This Row],[Exit_Date]]="","",TEXT(Table1_1[[#This Row],[Exit_Date]],"yyyy-mm"))</f>
        <v/>
      </c>
      <c r="V127">
        <f>IF(Table1_1[[#This Row],[Employment_Type]]="Contract",1,0)</f>
        <v>0</v>
      </c>
    </row>
    <row r="128" spans="1:22" x14ac:dyDescent="0.3">
      <c r="A128" t="s">
        <v>344</v>
      </c>
      <c r="B128" t="s">
        <v>345</v>
      </c>
      <c r="C128" t="s">
        <v>14</v>
      </c>
      <c r="D128" s="1">
        <v>33071</v>
      </c>
      <c r="E128" s="1">
        <v>42780</v>
      </c>
      <c r="F128" s="1"/>
      <c r="G128" t="s">
        <v>28</v>
      </c>
      <c r="H128" t="s">
        <v>29</v>
      </c>
      <c r="I128" t="s">
        <v>346</v>
      </c>
      <c r="J128" t="s">
        <v>18</v>
      </c>
      <c r="K128">
        <v>96000</v>
      </c>
      <c r="M128" t="str">
        <f>IF(Table1_1[[#This Row],[Exit_Date]]="","Active","Exited")</f>
        <v>Active</v>
      </c>
      <c r="N128">
        <f>IF(Table1_1[[#This Row],[Employee_Status]]="Exited",1,0)</f>
        <v>0</v>
      </c>
      <c r="O128">
        <f>IF(Table1_1[[#This Row],[Employee_Status]]="Active",1,0)</f>
        <v>1</v>
      </c>
      <c r="P128" s="2">
        <f ca="1">IF(Table1_1[[#This Row],[Employee_Status]]="Active",YEARFRAC(Table1_1[[#This Row],[Join_Date]],TODAY()),YEARFRAC(Table1_1[[#This Row],[Join_Date]],Table1_1[[#This Row],[Exit_Date]]))</f>
        <v>8.9833333333333325</v>
      </c>
      <c r="Q128" s="3">
        <f ca="1">YEARFRAC(Table1_1[[#This Row],[Date_of_Birth]],TODAY())</f>
        <v>35.55833333333333</v>
      </c>
      <c r="R128">
        <f>YEAR(Table1_1[[#This Row],[Join_Date]])</f>
        <v>2017</v>
      </c>
      <c r="S128" t="str">
        <f>TEXT(Table1_1[[#This Row],[Join_Date]],"yyyy-mm")</f>
        <v>2017-02</v>
      </c>
      <c r="T128" t="str">
        <f>IF(Table1_1[[#This Row],[Exit_Date]]="","",YEAR(Table1_1[[#This Row],[Exit_Date]]))</f>
        <v/>
      </c>
      <c r="U128" t="str">
        <f>IF(Table1_1[[#This Row],[Exit_Date]]="","",TEXT(Table1_1[[#This Row],[Exit_Date]],"yyyy-mm"))</f>
        <v/>
      </c>
      <c r="V128">
        <f>IF(Table1_1[[#This Row],[Employment_Type]]="Contract",1,0)</f>
        <v>0</v>
      </c>
    </row>
    <row r="129" spans="1:22" x14ac:dyDescent="0.3">
      <c r="A129" t="s">
        <v>347</v>
      </c>
      <c r="B129" t="s">
        <v>348</v>
      </c>
      <c r="C129" t="s">
        <v>21</v>
      </c>
      <c r="D129" s="1">
        <v>35510</v>
      </c>
      <c r="E129" s="1">
        <v>44352</v>
      </c>
      <c r="F129" s="1"/>
      <c r="G129" t="s">
        <v>22</v>
      </c>
      <c r="H129" t="s">
        <v>16</v>
      </c>
      <c r="I129" t="s">
        <v>349</v>
      </c>
      <c r="J129" t="s">
        <v>18</v>
      </c>
      <c r="K129">
        <v>39000</v>
      </c>
      <c r="M129" t="str">
        <f>IF(Table1_1[[#This Row],[Exit_Date]]="","Active","Exited")</f>
        <v>Active</v>
      </c>
      <c r="N129">
        <f>IF(Table1_1[[#This Row],[Employee_Status]]="Exited",1,0)</f>
        <v>0</v>
      </c>
      <c r="O129">
        <f>IF(Table1_1[[#This Row],[Employee_Status]]="Active",1,0)</f>
        <v>1</v>
      </c>
      <c r="P129" s="2">
        <f ca="1">IF(Table1_1[[#This Row],[Employee_Status]]="Active",YEARFRAC(Table1_1[[#This Row],[Join_Date]],TODAY()),YEARFRAC(Table1_1[[#This Row],[Join_Date]],Table1_1[[#This Row],[Exit_Date]]))</f>
        <v>4.6749999999999998</v>
      </c>
      <c r="Q129" s="3">
        <f ca="1">YEARFRAC(Table1_1[[#This Row],[Date_of_Birth]],TODAY())</f>
        <v>28.880555555555556</v>
      </c>
      <c r="R129">
        <f>YEAR(Table1_1[[#This Row],[Join_Date]])</f>
        <v>2021</v>
      </c>
      <c r="S129" t="str">
        <f>TEXT(Table1_1[[#This Row],[Join_Date]],"yyyy-mm")</f>
        <v>2021-06</v>
      </c>
      <c r="T129" t="str">
        <f>IF(Table1_1[[#This Row],[Exit_Date]]="","",YEAR(Table1_1[[#This Row],[Exit_Date]]))</f>
        <v/>
      </c>
      <c r="U129" t="str">
        <f>IF(Table1_1[[#This Row],[Exit_Date]]="","",TEXT(Table1_1[[#This Row],[Exit_Date]],"yyyy-mm"))</f>
        <v/>
      </c>
      <c r="V129">
        <f>IF(Table1_1[[#This Row],[Employment_Type]]="Contract",1,0)</f>
        <v>0</v>
      </c>
    </row>
    <row r="130" spans="1:22" x14ac:dyDescent="0.3">
      <c r="A130" t="s">
        <v>350</v>
      </c>
      <c r="B130" t="s">
        <v>351</v>
      </c>
      <c r="C130" t="s">
        <v>14</v>
      </c>
      <c r="D130" s="1">
        <v>31685</v>
      </c>
      <c r="E130" s="1">
        <v>41716</v>
      </c>
      <c r="F130" s="1"/>
      <c r="G130" t="s">
        <v>43</v>
      </c>
      <c r="H130" t="s">
        <v>88</v>
      </c>
      <c r="I130" t="s">
        <v>352</v>
      </c>
      <c r="J130" t="s">
        <v>18</v>
      </c>
      <c r="K130">
        <v>165000</v>
      </c>
      <c r="M130" t="str">
        <f>IF(Table1_1[[#This Row],[Exit_Date]]="","Active","Exited")</f>
        <v>Active</v>
      </c>
      <c r="N130">
        <f>IF(Table1_1[[#This Row],[Employee_Status]]="Exited",1,0)</f>
        <v>0</v>
      </c>
      <c r="O130">
        <f>IF(Table1_1[[#This Row],[Employee_Status]]="Active",1,0)</f>
        <v>1</v>
      </c>
      <c r="P130" s="2">
        <f ca="1">IF(Table1_1[[#This Row],[Employee_Status]]="Active",YEARFRAC(Table1_1[[#This Row],[Join_Date]],TODAY()),YEARFRAC(Table1_1[[#This Row],[Join_Date]],Table1_1[[#This Row],[Exit_Date]]))</f>
        <v>11.888888888888889</v>
      </c>
      <c r="Q130" s="3">
        <f ca="1">YEARFRAC(Table1_1[[#This Row],[Date_of_Birth]],TODAY())</f>
        <v>39.355555555555554</v>
      </c>
      <c r="R130">
        <f>YEAR(Table1_1[[#This Row],[Join_Date]])</f>
        <v>2014</v>
      </c>
      <c r="S130" t="str">
        <f>TEXT(Table1_1[[#This Row],[Join_Date]],"yyyy-mm")</f>
        <v>2014-03</v>
      </c>
      <c r="T130" t="str">
        <f>IF(Table1_1[[#This Row],[Exit_Date]]="","",YEAR(Table1_1[[#This Row],[Exit_Date]]))</f>
        <v/>
      </c>
      <c r="U130" t="str">
        <f>IF(Table1_1[[#This Row],[Exit_Date]]="","",TEXT(Table1_1[[#This Row],[Exit_Date]],"yyyy-mm"))</f>
        <v/>
      </c>
      <c r="V130">
        <f>IF(Table1_1[[#This Row],[Employment_Type]]="Contract",1,0)</f>
        <v>0</v>
      </c>
    </row>
    <row r="131" spans="1:22" x14ac:dyDescent="0.3">
      <c r="A131" t="s">
        <v>353</v>
      </c>
      <c r="B131" t="s">
        <v>354</v>
      </c>
      <c r="C131" t="s">
        <v>21</v>
      </c>
      <c r="D131" s="1">
        <v>34828</v>
      </c>
      <c r="E131" s="1">
        <v>44034</v>
      </c>
      <c r="F131" s="1"/>
      <c r="G131" t="s">
        <v>33</v>
      </c>
      <c r="H131" t="s">
        <v>23</v>
      </c>
      <c r="I131" t="s">
        <v>192</v>
      </c>
      <c r="J131" t="s">
        <v>18</v>
      </c>
      <c r="K131">
        <v>60000</v>
      </c>
      <c r="M131" t="str">
        <f>IF(Table1_1[[#This Row],[Exit_Date]]="","Active","Exited")</f>
        <v>Active</v>
      </c>
      <c r="N131">
        <f>IF(Table1_1[[#This Row],[Employee_Status]]="Exited",1,0)</f>
        <v>0</v>
      </c>
      <c r="O131">
        <f>IF(Table1_1[[#This Row],[Employee_Status]]="Active",1,0)</f>
        <v>1</v>
      </c>
      <c r="P131" s="2">
        <f ca="1">IF(Table1_1[[#This Row],[Employee_Status]]="Active",YEARFRAC(Table1_1[[#This Row],[Join_Date]],TODAY()),YEARFRAC(Table1_1[[#This Row],[Join_Date]],Table1_1[[#This Row],[Exit_Date]]))</f>
        <v>5.5444444444444443</v>
      </c>
      <c r="Q131" s="3">
        <f ca="1">YEARFRAC(Table1_1[[#This Row],[Date_of_Birth]],TODAY())</f>
        <v>30.747222222222224</v>
      </c>
      <c r="R131">
        <f>YEAR(Table1_1[[#This Row],[Join_Date]])</f>
        <v>2020</v>
      </c>
      <c r="S131" t="str">
        <f>TEXT(Table1_1[[#This Row],[Join_Date]],"yyyy-mm")</f>
        <v>2020-07</v>
      </c>
      <c r="T131" t="str">
        <f>IF(Table1_1[[#This Row],[Exit_Date]]="","",YEAR(Table1_1[[#This Row],[Exit_Date]]))</f>
        <v/>
      </c>
      <c r="U131" t="str">
        <f>IF(Table1_1[[#This Row],[Exit_Date]]="","",TEXT(Table1_1[[#This Row],[Exit_Date]],"yyyy-mm"))</f>
        <v/>
      </c>
      <c r="V131">
        <f>IF(Table1_1[[#This Row],[Employment_Type]]="Contract",1,0)</f>
        <v>0</v>
      </c>
    </row>
    <row r="132" spans="1:22" x14ac:dyDescent="0.3">
      <c r="A132" t="s">
        <v>355</v>
      </c>
      <c r="B132" t="s">
        <v>356</v>
      </c>
      <c r="C132" t="s">
        <v>14</v>
      </c>
      <c r="D132" s="1">
        <v>33970</v>
      </c>
      <c r="E132" s="1">
        <v>43831</v>
      </c>
      <c r="F132" s="1"/>
      <c r="G132" t="s">
        <v>28</v>
      </c>
      <c r="H132" t="s">
        <v>16</v>
      </c>
      <c r="I132" t="s">
        <v>357</v>
      </c>
      <c r="J132" t="s">
        <v>18</v>
      </c>
      <c r="K132">
        <v>46000</v>
      </c>
      <c r="M132" t="str">
        <f>IF(Table1_1[[#This Row],[Exit_Date]]="","Active","Exited")</f>
        <v>Active</v>
      </c>
      <c r="N132">
        <f>IF(Table1_1[[#This Row],[Employee_Status]]="Exited",1,0)</f>
        <v>0</v>
      </c>
      <c r="O132">
        <f>IF(Table1_1[[#This Row],[Employee_Status]]="Active",1,0)</f>
        <v>1</v>
      </c>
      <c r="P132" s="2">
        <f ca="1">IF(Table1_1[[#This Row],[Employee_Status]]="Active",YEARFRAC(Table1_1[[#This Row],[Join_Date]],TODAY()),YEARFRAC(Table1_1[[#This Row],[Join_Date]],Table1_1[[#This Row],[Exit_Date]]))</f>
        <v>6.1027777777777779</v>
      </c>
      <c r="Q132" s="3">
        <f ca="1">YEARFRAC(Table1_1[[#This Row],[Date_of_Birth]],TODAY())</f>
        <v>33.102777777777774</v>
      </c>
      <c r="R132">
        <f>YEAR(Table1_1[[#This Row],[Join_Date]])</f>
        <v>2020</v>
      </c>
      <c r="S132" t="str">
        <f>TEXT(Table1_1[[#This Row],[Join_Date]],"yyyy-mm")</f>
        <v>2020-01</v>
      </c>
      <c r="T132" t="str">
        <f>IF(Table1_1[[#This Row],[Exit_Date]]="","",YEAR(Table1_1[[#This Row],[Exit_Date]]))</f>
        <v/>
      </c>
      <c r="U132" t="str">
        <f>IF(Table1_1[[#This Row],[Exit_Date]]="","",TEXT(Table1_1[[#This Row],[Exit_Date]],"yyyy-mm"))</f>
        <v/>
      </c>
      <c r="V132">
        <f>IF(Table1_1[[#This Row],[Employment_Type]]="Contract",1,0)</f>
        <v>0</v>
      </c>
    </row>
    <row r="133" spans="1:22" x14ac:dyDescent="0.3">
      <c r="A133" t="s">
        <v>358</v>
      </c>
      <c r="B133" t="s">
        <v>359</v>
      </c>
      <c r="C133" t="s">
        <v>21</v>
      </c>
      <c r="D133" s="1">
        <v>36082</v>
      </c>
      <c r="E133" s="1">
        <v>44607</v>
      </c>
      <c r="F133" s="1"/>
      <c r="G133" t="s">
        <v>22</v>
      </c>
      <c r="H133" t="s">
        <v>16</v>
      </c>
      <c r="I133" t="s">
        <v>360</v>
      </c>
      <c r="J133" t="s">
        <v>48</v>
      </c>
      <c r="K133">
        <v>32000</v>
      </c>
      <c r="M133" t="str">
        <f>IF(Table1_1[[#This Row],[Exit_Date]]="","Active","Exited")</f>
        <v>Active</v>
      </c>
      <c r="N133">
        <f>IF(Table1_1[[#This Row],[Employee_Status]]="Exited",1,0)</f>
        <v>0</v>
      </c>
      <c r="O133">
        <f>IF(Table1_1[[#This Row],[Employee_Status]]="Active",1,0)</f>
        <v>1</v>
      </c>
      <c r="P133" s="2">
        <f ca="1">IF(Table1_1[[#This Row],[Employee_Status]]="Active",YEARFRAC(Table1_1[[#This Row],[Join_Date]],TODAY()),YEARFRAC(Table1_1[[#This Row],[Join_Date]],Table1_1[[#This Row],[Exit_Date]]))</f>
        <v>3.9805555555555556</v>
      </c>
      <c r="Q133" s="3">
        <f ca="1">YEARFRAC(Table1_1[[#This Row],[Date_of_Birth]],TODAY())</f>
        <v>27.316666666666666</v>
      </c>
      <c r="R133">
        <f>YEAR(Table1_1[[#This Row],[Join_Date]])</f>
        <v>2022</v>
      </c>
      <c r="S133" t="str">
        <f>TEXT(Table1_1[[#This Row],[Join_Date]],"yyyy-mm")</f>
        <v>2022-02</v>
      </c>
      <c r="T133" t="str">
        <f>IF(Table1_1[[#This Row],[Exit_Date]]="","",YEAR(Table1_1[[#This Row],[Exit_Date]]))</f>
        <v/>
      </c>
      <c r="U133" t="str">
        <f>IF(Table1_1[[#This Row],[Exit_Date]]="","",TEXT(Table1_1[[#This Row],[Exit_Date]],"yyyy-mm"))</f>
        <v/>
      </c>
      <c r="V133">
        <f>IF(Table1_1[[#This Row],[Employment_Type]]="Contract",1,0)</f>
        <v>1</v>
      </c>
    </row>
    <row r="134" spans="1:22" x14ac:dyDescent="0.3">
      <c r="A134" t="s">
        <v>361</v>
      </c>
      <c r="B134" t="s">
        <v>362</v>
      </c>
      <c r="C134" t="s">
        <v>14</v>
      </c>
      <c r="D134" s="1">
        <v>32602</v>
      </c>
      <c r="E134" s="1">
        <v>42558</v>
      </c>
      <c r="F134" s="1"/>
      <c r="G134" t="s">
        <v>43</v>
      </c>
      <c r="H134" t="s">
        <v>29</v>
      </c>
      <c r="I134" t="s">
        <v>363</v>
      </c>
      <c r="J134" t="s">
        <v>18</v>
      </c>
      <c r="K134">
        <v>85000</v>
      </c>
      <c r="M134" t="str">
        <f>IF(Table1_1[[#This Row],[Exit_Date]]="","Active","Exited")</f>
        <v>Active</v>
      </c>
      <c r="N134">
        <f>IF(Table1_1[[#This Row],[Employee_Status]]="Exited",1,0)</f>
        <v>0</v>
      </c>
      <c r="O134">
        <f>IF(Table1_1[[#This Row],[Employee_Status]]="Active",1,0)</f>
        <v>1</v>
      </c>
      <c r="P134" s="2">
        <f ca="1">IF(Table1_1[[#This Row],[Employee_Status]]="Active",YEARFRAC(Table1_1[[#This Row],[Join_Date]],TODAY()),YEARFRAC(Table1_1[[#This Row],[Join_Date]],Table1_1[[#This Row],[Exit_Date]]))</f>
        <v>9.5861111111111104</v>
      </c>
      <c r="Q134" s="3">
        <f ca="1">YEARFRAC(Table1_1[[#This Row],[Date_of_Birth]],TODAY())</f>
        <v>36.844444444444441</v>
      </c>
      <c r="R134">
        <f>YEAR(Table1_1[[#This Row],[Join_Date]])</f>
        <v>2016</v>
      </c>
      <c r="S134" t="str">
        <f>TEXT(Table1_1[[#This Row],[Join_Date]],"yyyy-mm")</f>
        <v>2016-07</v>
      </c>
      <c r="T134" t="str">
        <f>IF(Table1_1[[#This Row],[Exit_Date]]="","",YEAR(Table1_1[[#This Row],[Exit_Date]]))</f>
        <v/>
      </c>
      <c r="U134" t="str">
        <f>IF(Table1_1[[#This Row],[Exit_Date]]="","",TEXT(Table1_1[[#This Row],[Exit_Date]],"yyyy-mm"))</f>
        <v/>
      </c>
      <c r="V134">
        <f>IF(Table1_1[[#This Row],[Employment_Type]]="Contract",1,0)</f>
        <v>0</v>
      </c>
    </row>
    <row r="135" spans="1:22" x14ac:dyDescent="0.3">
      <c r="A135" t="s">
        <v>364</v>
      </c>
      <c r="B135" t="s">
        <v>365</v>
      </c>
      <c r="C135" t="s">
        <v>21</v>
      </c>
      <c r="D135" s="1">
        <v>35234</v>
      </c>
      <c r="E135" s="1">
        <v>44063</v>
      </c>
      <c r="F135" s="1"/>
      <c r="G135" t="s">
        <v>33</v>
      </c>
      <c r="H135" t="s">
        <v>16</v>
      </c>
      <c r="I135" t="s">
        <v>366</v>
      </c>
      <c r="J135" t="s">
        <v>18</v>
      </c>
      <c r="K135">
        <v>42000</v>
      </c>
      <c r="M135" t="str">
        <f>IF(Table1_1[[#This Row],[Exit_Date]]="","Active","Exited")</f>
        <v>Active</v>
      </c>
      <c r="N135">
        <f>IF(Table1_1[[#This Row],[Employee_Status]]="Exited",1,0)</f>
        <v>0</v>
      </c>
      <c r="O135">
        <f>IF(Table1_1[[#This Row],[Employee_Status]]="Active",1,0)</f>
        <v>1</v>
      </c>
      <c r="P135" s="2">
        <f ca="1">IF(Table1_1[[#This Row],[Employee_Status]]="Active",YEARFRAC(Table1_1[[#This Row],[Join_Date]],TODAY()),YEARFRAC(Table1_1[[#This Row],[Join_Date]],Table1_1[[#This Row],[Exit_Date]]))</f>
        <v>5.4666666666666668</v>
      </c>
      <c r="Q135" s="3">
        <f ca="1">YEARFRAC(Table1_1[[#This Row],[Date_of_Birth]],TODAY())</f>
        <v>29.638888888888889</v>
      </c>
      <c r="R135">
        <f>YEAR(Table1_1[[#This Row],[Join_Date]])</f>
        <v>2020</v>
      </c>
      <c r="S135" t="str">
        <f>TEXT(Table1_1[[#This Row],[Join_Date]],"yyyy-mm")</f>
        <v>2020-08</v>
      </c>
      <c r="T135" t="str">
        <f>IF(Table1_1[[#This Row],[Exit_Date]]="","",YEAR(Table1_1[[#This Row],[Exit_Date]]))</f>
        <v/>
      </c>
      <c r="U135" t="str">
        <f>IF(Table1_1[[#This Row],[Exit_Date]]="","",TEXT(Table1_1[[#This Row],[Exit_Date]],"yyyy-mm"))</f>
        <v/>
      </c>
      <c r="V135">
        <f>IF(Table1_1[[#This Row],[Employment_Type]]="Contract",1,0)</f>
        <v>0</v>
      </c>
    </row>
    <row r="136" spans="1:22" x14ac:dyDescent="0.3">
      <c r="A136" t="s">
        <v>367</v>
      </c>
      <c r="B136" t="s">
        <v>368</v>
      </c>
      <c r="C136" t="s">
        <v>14</v>
      </c>
      <c r="D136" s="1">
        <v>31410</v>
      </c>
      <c r="E136" s="1">
        <v>41192</v>
      </c>
      <c r="F136" s="1"/>
      <c r="G136" t="s">
        <v>28</v>
      </c>
      <c r="H136" t="s">
        <v>44</v>
      </c>
      <c r="I136" t="s">
        <v>369</v>
      </c>
      <c r="J136" t="s">
        <v>18</v>
      </c>
      <c r="K136">
        <v>110000</v>
      </c>
      <c r="M136" t="str">
        <f>IF(Table1_1[[#This Row],[Exit_Date]]="","Active","Exited")</f>
        <v>Active</v>
      </c>
      <c r="N136">
        <f>IF(Table1_1[[#This Row],[Employee_Status]]="Exited",1,0)</f>
        <v>0</v>
      </c>
      <c r="O136">
        <f>IF(Table1_1[[#This Row],[Employee_Status]]="Active",1,0)</f>
        <v>1</v>
      </c>
      <c r="P136" s="2">
        <f ca="1">IF(Table1_1[[#This Row],[Employee_Status]]="Active",YEARFRAC(Table1_1[[#This Row],[Join_Date]],TODAY()),YEARFRAC(Table1_1[[#This Row],[Join_Date]],Table1_1[[#This Row],[Exit_Date]]))</f>
        <v>13.327777777777778</v>
      </c>
      <c r="Q136" s="3">
        <f ca="1">YEARFRAC(Table1_1[[#This Row],[Date_of_Birth]],TODAY())</f>
        <v>40.108333333333334</v>
      </c>
      <c r="R136">
        <f>YEAR(Table1_1[[#This Row],[Join_Date]])</f>
        <v>2012</v>
      </c>
      <c r="S136" t="str">
        <f>TEXT(Table1_1[[#This Row],[Join_Date]],"yyyy-mm")</f>
        <v>2012-10</v>
      </c>
      <c r="T136" t="str">
        <f>IF(Table1_1[[#This Row],[Exit_Date]]="","",YEAR(Table1_1[[#This Row],[Exit_Date]]))</f>
        <v/>
      </c>
      <c r="U136" t="str">
        <f>IF(Table1_1[[#This Row],[Exit_Date]]="","",TEXT(Table1_1[[#This Row],[Exit_Date]],"yyyy-mm"))</f>
        <v/>
      </c>
      <c r="V136">
        <f>IF(Table1_1[[#This Row],[Employment_Type]]="Contract",1,0)</f>
        <v>0</v>
      </c>
    </row>
    <row r="137" spans="1:22" x14ac:dyDescent="0.3">
      <c r="A137" t="s">
        <v>370</v>
      </c>
      <c r="B137" t="s">
        <v>371</v>
      </c>
      <c r="C137" t="s">
        <v>21</v>
      </c>
      <c r="D137" s="1">
        <v>36193</v>
      </c>
      <c r="E137" s="1">
        <v>44805</v>
      </c>
      <c r="F137" s="1"/>
      <c r="G137" t="s">
        <v>22</v>
      </c>
      <c r="H137" t="s">
        <v>16</v>
      </c>
      <c r="I137" t="s">
        <v>372</v>
      </c>
      <c r="J137" t="s">
        <v>48</v>
      </c>
      <c r="K137">
        <v>30000</v>
      </c>
      <c r="M137" t="str">
        <f>IF(Table1_1[[#This Row],[Exit_Date]]="","Active","Exited")</f>
        <v>Active</v>
      </c>
      <c r="N137">
        <f>IF(Table1_1[[#This Row],[Employee_Status]]="Exited",1,0)</f>
        <v>0</v>
      </c>
      <c r="O137">
        <f>IF(Table1_1[[#This Row],[Employee_Status]]="Active",1,0)</f>
        <v>1</v>
      </c>
      <c r="P137" s="2">
        <f ca="1">IF(Table1_1[[#This Row],[Employee_Status]]="Active",YEARFRAC(Table1_1[[#This Row],[Join_Date]],TODAY()),YEARFRAC(Table1_1[[#This Row],[Join_Date]],Table1_1[[#This Row],[Exit_Date]]))</f>
        <v>3.4361111111111109</v>
      </c>
      <c r="Q137" s="3">
        <f ca="1">YEARFRAC(Table1_1[[#This Row],[Date_of_Birth]],TODAY())</f>
        <v>27.016666666666666</v>
      </c>
      <c r="R137">
        <f>YEAR(Table1_1[[#This Row],[Join_Date]])</f>
        <v>2022</v>
      </c>
      <c r="S137" t="str">
        <f>TEXT(Table1_1[[#This Row],[Join_Date]],"yyyy-mm")</f>
        <v>2022-09</v>
      </c>
      <c r="T137" t="str">
        <f>IF(Table1_1[[#This Row],[Exit_Date]]="","",YEAR(Table1_1[[#This Row],[Exit_Date]]))</f>
        <v/>
      </c>
      <c r="U137" t="str">
        <f>IF(Table1_1[[#This Row],[Exit_Date]]="","",TEXT(Table1_1[[#This Row],[Exit_Date]],"yyyy-mm"))</f>
        <v/>
      </c>
      <c r="V137">
        <f>IF(Table1_1[[#This Row],[Employment_Type]]="Contract",1,0)</f>
        <v>1</v>
      </c>
    </row>
    <row r="138" spans="1:22" x14ac:dyDescent="0.3">
      <c r="A138" t="s">
        <v>373</v>
      </c>
      <c r="B138" t="s">
        <v>374</v>
      </c>
      <c r="C138" t="s">
        <v>14</v>
      </c>
      <c r="D138" s="1">
        <v>32331</v>
      </c>
      <c r="E138" s="1">
        <v>42129</v>
      </c>
      <c r="F138" s="1"/>
      <c r="G138" t="s">
        <v>43</v>
      </c>
      <c r="H138" t="s">
        <v>23</v>
      </c>
      <c r="I138" t="s">
        <v>375</v>
      </c>
      <c r="J138" t="s">
        <v>18</v>
      </c>
      <c r="K138">
        <v>71000</v>
      </c>
      <c r="M138" t="str">
        <f>IF(Table1_1[[#This Row],[Exit_Date]]="","Active","Exited")</f>
        <v>Active</v>
      </c>
      <c r="N138">
        <f>IF(Table1_1[[#This Row],[Employee_Status]]="Exited",1,0)</f>
        <v>0</v>
      </c>
      <c r="O138">
        <f>IF(Table1_1[[#This Row],[Employee_Status]]="Active",1,0)</f>
        <v>1</v>
      </c>
      <c r="P138" s="2">
        <f ca="1">IF(Table1_1[[#This Row],[Employee_Status]]="Active",YEARFRAC(Table1_1[[#This Row],[Join_Date]],TODAY()),YEARFRAC(Table1_1[[#This Row],[Join_Date]],Table1_1[[#This Row],[Exit_Date]]))</f>
        <v>10.758333333333333</v>
      </c>
      <c r="Q138" s="3">
        <f ca="1">YEARFRAC(Table1_1[[#This Row],[Date_of_Birth]],TODAY())</f>
        <v>37.586111111111109</v>
      </c>
      <c r="R138">
        <f>YEAR(Table1_1[[#This Row],[Join_Date]])</f>
        <v>2015</v>
      </c>
      <c r="S138" t="str">
        <f>TEXT(Table1_1[[#This Row],[Join_Date]],"yyyy-mm")</f>
        <v>2015-05</v>
      </c>
      <c r="T138" t="str">
        <f>IF(Table1_1[[#This Row],[Exit_Date]]="","",YEAR(Table1_1[[#This Row],[Exit_Date]]))</f>
        <v/>
      </c>
      <c r="U138" t="str">
        <f>IF(Table1_1[[#This Row],[Exit_Date]]="","",TEXT(Table1_1[[#This Row],[Exit_Date]],"yyyy-mm"))</f>
        <v/>
      </c>
      <c r="V138">
        <f>IF(Table1_1[[#This Row],[Employment_Type]]="Contract",1,0)</f>
        <v>0</v>
      </c>
    </row>
    <row r="139" spans="1:22" x14ac:dyDescent="0.3">
      <c r="A139" t="s">
        <v>376</v>
      </c>
      <c r="B139" t="s">
        <v>377</v>
      </c>
      <c r="C139" t="s">
        <v>21</v>
      </c>
      <c r="D139" s="1">
        <v>34349</v>
      </c>
      <c r="E139" s="1">
        <v>43634</v>
      </c>
      <c r="F139" s="1"/>
      <c r="G139" t="s">
        <v>33</v>
      </c>
      <c r="H139" t="s">
        <v>23</v>
      </c>
      <c r="I139" t="s">
        <v>378</v>
      </c>
      <c r="J139" t="s">
        <v>18</v>
      </c>
      <c r="K139">
        <v>63000</v>
      </c>
      <c r="M139" t="str">
        <f>IF(Table1_1[[#This Row],[Exit_Date]]="","Active","Exited")</f>
        <v>Active</v>
      </c>
      <c r="N139">
        <f>IF(Table1_1[[#This Row],[Employee_Status]]="Exited",1,0)</f>
        <v>0</v>
      </c>
      <c r="O139">
        <f>IF(Table1_1[[#This Row],[Employee_Status]]="Active",1,0)</f>
        <v>1</v>
      </c>
      <c r="P139" s="2">
        <f ca="1">IF(Table1_1[[#This Row],[Employee_Status]]="Active",YEARFRAC(Table1_1[[#This Row],[Join_Date]],TODAY()),YEARFRAC(Table1_1[[#This Row],[Join_Date]],Table1_1[[#This Row],[Exit_Date]]))</f>
        <v>6.6388888888888893</v>
      </c>
      <c r="Q139" s="3">
        <f ca="1">YEARFRAC(Table1_1[[#This Row],[Date_of_Birth]],TODAY())</f>
        <v>32.06388888888889</v>
      </c>
      <c r="R139">
        <f>YEAR(Table1_1[[#This Row],[Join_Date]])</f>
        <v>2019</v>
      </c>
      <c r="S139" t="str">
        <f>TEXT(Table1_1[[#This Row],[Join_Date]],"yyyy-mm")</f>
        <v>2019-06</v>
      </c>
      <c r="T139" t="str">
        <f>IF(Table1_1[[#This Row],[Exit_Date]]="","",YEAR(Table1_1[[#This Row],[Exit_Date]]))</f>
        <v/>
      </c>
      <c r="U139" t="str">
        <f>IF(Table1_1[[#This Row],[Exit_Date]]="","",TEXT(Table1_1[[#This Row],[Exit_Date]],"yyyy-mm"))</f>
        <v/>
      </c>
      <c r="V139">
        <f>IF(Table1_1[[#This Row],[Employment_Type]]="Contract",1,0)</f>
        <v>0</v>
      </c>
    </row>
    <row r="140" spans="1:22" x14ac:dyDescent="0.3">
      <c r="A140" t="s">
        <v>379</v>
      </c>
      <c r="B140" t="s">
        <v>380</v>
      </c>
      <c r="C140" t="s">
        <v>14</v>
      </c>
      <c r="D140" s="1">
        <v>33320</v>
      </c>
      <c r="E140" s="1">
        <v>43191</v>
      </c>
      <c r="F140" s="1"/>
      <c r="G140" t="s">
        <v>28</v>
      </c>
      <c r="H140" t="s">
        <v>16</v>
      </c>
      <c r="I140" t="s">
        <v>381</v>
      </c>
      <c r="J140" t="s">
        <v>18</v>
      </c>
      <c r="K140">
        <v>47000</v>
      </c>
      <c r="M140" t="str">
        <f>IF(Table1_1[[#This Row],[Exit_Date]]="","Active","Exited")</f>
        <v>Active</v>
      </c>
      <c r="N140">
        <f>IF(Table1_1[[#This Row],[Employee_Status]]="Exited",1,0)</f>
        <v>0</v>
      </c>
      <c r="O140">
        <f>IF(Table1_1[[#This Row],[Employee_Status]]="Active",1,0)</f>
        <v>1</v>
      </c>
      <c r="P140" s="2">
        <f ca="1">IF(Table1_1[[#This Row],[Employee_Status]]="Active",YEARFRAC(Table1_1[[#This Row],[Join_Date]],TODAY()),YEARFRAC(Table1_1[[#This Row],[Join_Date]],Table1_1[[#This Row],[Exit_Date]]))</f>
        <v>7.8527777777777779</v>
      </c>
      <c r="Q140" s="3">
        <f ca="1">YEARFRAC(Table1_1[[#This Row],[Date_of_Birth]],TODAY())</f>
        <v>34.875</v>
      </c>
      <c r="R140">
        <f>YEAR(Table1_1[[#This Row],[Join_Date]])</f>
        <v>2018</v>
      </c>
      <c r="S140" t="str">
        <f>TEXT(Table1_1[[#This Row],[Join_Date]],"yyyy-mm")</f>
        <v>2018-04</v>
      </c>
      <c r="T140" t="str">
        <f>IF(Table1_1[[#This Row],[Exit_Date]]="","",YEAR(Table1_1[[#This Row],[Exit_Date]]))</f>
        <v/>
      </c>
      <c r="U140" t="str">
        <f>IF(Table1_1[[#This Row],[Exit_Date]]="","",TEXT(Table1_1[[#This Row],[Exit_Date]],"yyyy-mm"))</f>
        <v/>
      </c>
      <c r="V140">
        <f>IF(Table1_1[[#This Row],[Employment_Type]]="Contract",1,0)</f>
        <v>0</v>
      </c>
    </row>
    <row r="141" spans="1:22" x14ac:dyDescent="0.3">
      <c r="A141" t="s">
        <v>382</v>
      </c>
      <c r="B141" t="s">
        <v>383</v>
      </c>
      <c r="C141" t="s">
        <v>21</v>
      </c>
      <c r="D141" s="1">
        <v>35682</v>
      </c>
      <c r="E141" s="1">
        <v>44511</v>
      </c>
      <c r="F141" s="1"/>
      <c r="G141" t="s">
        <v>22</v>
      </c>
      <c r="H141" t="s">
        <v>16</v>
      </c>
      <c r="I141" t="s">
        <v>384</v>
      </c>
      <c r="J141" t="s">
        <v>18</v>
      </c>
      <c r="K141">
        <v>38000</v>
      </c>
      <c r="M141" t="str">
        <f>IF(Table1_1[[#This Row],[Exit_Date]]="","Active","Exited")</f>
        <v>Active</v>
      </c>
      <c r="N141">
        <f>IF(Table1_1[[#This Row],[Employee_Status]]="Exited",1,0)</f>
        <v>0</v>
      </c>
      <c r="O141">
        <f>IF(Table1_1[[#This Row],[Employee_Status]]="Active",1,0)</f>
        <v>1</v>
      </c>
      <c r="P141" s="2">
        <f ca="1">IF(Table1_1[[#This Row],[Employee_Status]]="Active",YEARFRAC(Table1_1[[#This Row],[Join_Date]],TODAY()),YEARFRAC(Table1_1[[#This Row],[Join_Date]],Table1_1[[#This Row],[Exit_Date]]))</f>
        <v>4.2416666666666663</v>
      </c>
      <c r="Q141" s="3">
        <f ca="1">YEARFRAC(Table1_1[[#This Row],[Date_of_Birth]],TODAY())</f>
        <v>28.413888888888888</v>
      </c>
      <c r="R141">
        <f>YEAR(Table1_1[[#This Row],[Join_Date]])</f>
        <v>2021</v>
      </c>
      <c r="S141" t="str">
        <f>TEXT(Table1_1[[#This Row],[Join_Date]],"yyyy-mm")</f>
        <v>2021-11</v>
      </c>
      <c r="T141" t="str">
        <f>IF(Table1_1[[#This Row],[Exit_Date]]="","",YEAR(Table1_1[[#This Row],[Exit_Date]]))</f>
        <v/>
      </c>
      <c r="U141" t="str">
        <f>IF(Table1_1[[#This Row],[Exit_Date]]="","",TEXT(Table1_1[[#This Row],[Exit_Date]],"yyyy-mm"))</f>
        <v/>
      </c>
      <c r="V141">
        <f>IF(Table1_1[[#This Row],[Employment_Type]]="Contract",1,0)</f>
        <v>0</v>
      </c>
    </row>
    <row r="142" spans="1:22" x14ac:dyDescent="0.3">
      <c r="A142" t="s">
        <v>385</v>
      </c>
      <c r="B142" t="s">
        <v>386</v>
      </c>
      <c r="C142" t="s">
        <v>14</v>
      </c>
      <c r="D142" s="1">
        <v>31652</v>
      </c>
      <c r="E142" s="1">
        <v>41640</v>
      </c>
      <c r="F142" s="1"/>
      <c r="G142" t="s">
        <v>43</v>
      </c>
      <c r="H142" t="s">
        <v>29</v>
      </c>
      <c r="I142" t="s">
        <v>387</v>
      </c>
      <c r="J142" t="s">
        <v>18</v>
      </c>
      <c r="K142">
        <v>89000</v>
      </c>
      <c r="M142" t="str">
        <f>IF(Table1_1[[#This Row],[Exit_Date]]="","Active","Exited")</f>
        <v>Active</v>
      </c>
      <c r="N142">
        <f>IF(Table1_1[[#This Row],[Employee_Status]]="Exited",1,0)</f>
        <v>0</v>
      </c>
      <c r="O142">
        <f>IF(Table1_1[[#This Row],[Employee_Status]]="Active",1,0)</f>
        <v>1</v>
      </c>
      <c r="P142" s="2">
        <f ca="1">IF(Table1_1[[#This Row],[Employee_Status]]="Active",YEARFRAC(Table1_1[[#This Row],[Join_Date]],TODAY()),YEARFRAC(Table1_1[[#This Row],[Join_Date]],Table1_1[[#This Row],[Exit_Date]]))</f>
        <v>12.102777777777778</v>
      </c>
      <c r="Q142" s="3">
        <f ca="1">YEARFRAC(Table1_1[[#This Row],[Date_of_Birth]],TODAY())</f>
        <v>39.444444444444443</v>
      </c>
      <c r="R142">
        <f>YEAR(Table1_1[[#This Row],[Join_Date]])</f>
        <v>2014</v>
      </c>
      <c r="S142" t="str">
        <f>TEXT(Table1_1[[#This Row],[Join_Date]],"yyyy-mm")</f>
        <v>2014-01</v>
      </c>
      <c r="T142" t="str">
        <f>IF(Table1_1[[#This Row],[Exit_Date]]="","",YEAR(Table1_1[[#This Row],[Exit_Date]]))</f>
        <v/>
      </c>
      <c r="U142" t="str">
        <f>IF(Table1_1[[#This Row],[Exit_Date]]="","",TEXT(Table1_1[[#This Row],[Exit_Date]],"yyyy-mm"))</f>
        <v/>
      </c>
      <c r="V142">
        <f>IF(Table1_1[[#This Row],[Employment_Type]]="Contract",1,0)</f>
        <v>0</v>
      </c>
    </row>
    <row r="143" spans="1:22" x14ac:dyDescent="0.3">
      <c r="A143" t="s">
        <v>388</v>
      </c>
      <c r="B143" t="s">
        <v>389</v>
      </c>
      <c r="C143" t="s">
        <v>21</v>
      </c>
      <c r="D143" s="1">
        <v>35045</v>
      </c>
      <c r="E143" s="1">
        <v>43875</v>
      </c>
      <c r="F143" s="1"/>
      <c r="G143" t="s">
        <v>33</v>
      </c>
      <c r="H143" t="s">
        <v>16</v>
      </c>
      <c r="I143" t="s">
        <v>390</v>
      </c>
      <c r="J143" t="s">
        <v>18</v>
      </c>
      <c r="K143">
        <v>44000</v>
      </c>
      <c r="M143" t="str">
        <f>IF(Table1_1[[#This Row],[Exit_Date]]="","Active","Exited")</f>
        <v>Active</v>
      </c>
      <c r="N143">
        <f>IF(Table1_1[[#This Row],[Employee_Status]]="Exited",1,0)</f>
        <v>0</v>
      </c>
      <c r="O143">
        <f>IF(Table1_1[[#This Row],[Employee_Status]]="Active",1,0)</f>
        <v>1</v>
      </c>
      <c r="P143" s="2">
        <f ca="1">IF(Table1_1[[#This Row],[Employee_Status]]="Active",YEARFRAC(Table1_1[[#This Row],[Join_Date]],TODAY()),YEARFRAC(Table1_1[[#This Row],[Join_Date]],Table1_1[[#This Row],[Exit_Date]]))</f>
        <v>5.9833333333333334</v>
      </c>
      <c r="Q143" s="3">
        <f ca="1">YEARFRAC(Table1_1[[#This Row],[Date_of_Birth]],TODAY())</f>
        <v>30.155555555555555</v>
      </c>
      <c r="R143">
        <f>YEAR(Table1_1[[#This Row],[Join_Date]])</f>
        <v>2020</v>
      </c>
      <c r="S143" t="str">
        <f>TEXT(Table1_1[[#This Row],[Join_Date]],"yyyy-mm")</f>
        <v>2020-02</v>
      </c>
      <c r="T143" t="str">
        <f>IF(Table1_1[[#This Row],[Exit_Date]]="","",YEAR(Table1_1[[#This Row],[Exit_Date]]))</f>
        <v/>
      </c>
      <c r="U143" t="str">
        <f>IF(Table1_1[[#This Row],[Exit_Date]]="","",TEXT(Table1_1[[#This Row],[Exit_Date]],"yyyy-mm"))</f>
        <v/>
      </c>
      <c r="V143">
        <f>IF(Table1_1[[#This Row],[Employment_Type]]="Contract",1,0)</f>
        <v>0</v>
      </c>
    </row>
    <row r="144" spans="1:22" x14ac:dyDescent="0.3">
      <c r="A144" t="s">
        <v>391</v>
      </c>
      <c r="B144" t="s">
        <v>392</v>
      </c>
      <c r="C144" t="s">
        <v>14</v>
      </c>
      <c r="D144" s="1">
        <v>33030</v>
      </c>
      <c r="E144" s="1">
        <v>42987</v>
      </c>
      <c r="F144" s="1"/>
      <c r="G144" t="s">
        <v>28</v>
      </c>
      <c r="H144" t="s">
        <v>23</v>
      </c>
      <c r="I144" t="s">
        <v>393</v>
      </c>
      <c r="J144" t="s">
        <v>18</v>
      </c>
      <c r="K144">
        <v>70000</v>
      </c>
      <c r="M144" t="str">
        <f>IF(Table1_1[[#This Row],[Exit_Date]]="","Active","Exited")</f>
        <v>Active</v>
      </c>
      <c r="N144">
        <f>IF(Table1_1[[#This Row],[Employee_Status]]="Exited",1,0)</f>
        <v>0</v>
      </c>
      <c r="O144">
        <f>IF(Table1_1[[#This Row],[Employee_Status]]="Active",1,0)</f>
        <v>1</v>
      </c>
      <c r="P144" s="2">
        <f ca="1">IF(Table1_1[[#This Row],[Employee_Status]]="Active",YEARFRAC(Table1_1[[#This Row],[Join_Date]],TODAY()),YEARFRAC(Table1_1[[#This Row],[Join_Date]],Table1_1[[#This Row],[Exit_Date]]))</f>
        <v>8.4138888888888896</v>
      </c>
      <c r="Q144" s="3">
        <f ca="1">YEARFRAC(Table1_1[[#This Row],[Date_of_Birth]],TODAY())</f>
        <v>35.672222222222224</v>
      </c>
      <c r="R144">
        <f>YEAR(Table1_1[[#This Row],[Join_Date]])</f>
        <v>2017</v>
      </c>
      <c r="S144" t="str">
        <f>TEXT(Table1_1[[#This Row],[Join_Date]],"yyyy-mm")</f>
        <v>2017-09</v>
      </c>
      <c r="T144" t="str">
        <f>IF(Table1_1[[#This Row],[Exit_Date]]="","",YEAR(Table1_1[[#This Row],[Exit_Date]]))</f>
        <v/>
      </c>
      <c r="U144" t="str">
        <f>IF(Table1_1[[#This Row],[Exit_Date]]="","",TEXT(Table1_1[[#This Row],[Exit_Date]],"yyyy-mm"))</f>
        <v/>
      </c>
      <c r="V144">
        <f>IF(Table1_1[[#This Row],[Employment_Type]]="Contract",1,0)</f>
        <v>0</v>
      </c>
    </row>
    <row r="145" spans="1:22" x14ac:dyDescent="0.3">
      <c r="A145" t="s">
        <v>394</v>
      </c>
      <c r="B145" t="s">
        <v>395</v>
      </c>
      <c r="C145" t="s">
        <v>21</v>
      </c>
      <c r="D145" s="1">
        <v>35904</v>
      </c>
      <c r="E145" s="1">
        <v>44774</v>
      </c>
      <c r="F145" s="1"/>
      <c r="G145" t="s">
        <v>22</v>
      </c>
      <c r="H145" t="s">
        <v>16</v>
      </c>
      <c r="I145" t="s">
        <v>396</v>
      </c>
      <c r="J145" t="s">
        <v>48</v>
      </c>
      <c r="K145">
        <v>30000</v>
      </c>
      <c r="M145" t="str">
        <f>IF(Table1_1[[#This Row],[Exit_Date]]="","Active","Exited")</f>
        <v>Active</v>
      </c>
      <c r="N145">
        <f>IF(Table1_1[[#This Row],[Employee_Status]]="Exited",1,0)</f>
        <v>0</v>
      </c>
      <c r="O145">
        <f>IF(Table1_1[[#This Row],[Employee_Status]]="Active",1,0)</f>
        <v>1</v>
      </c>
      <c r="P145" s="2">
        <f ca="1">IF(Table1_1[[#This Row],[Employee_Status]]="Active",YEARFRAC(Table1_1[[#This Row],[Join_Date]],TODAY()),YEARFRAC(Table1_1[[#This Row],[Join_Date]],Table1_1[[#This Row],[Exit_Date]]))</f>
        <v>3.5194444444444444</v>
      </c>
      <c r="Q145" s="3">
        <f ca="1">YEARFRAC(Table1_1[[#This Row],[Date_of_Birth]],TODAY())</f>
        <v>27.802777777777777</v>
      </c>
      <c r="R145">
        <f>YEAR(Table1_1[[#This Row],[Join_Date]])</f>
        <v>2022</v>
      </c>
      <c r="S145" t="str">
        <f>TEXT(Table1_1[[#This Row],[Join_Date]],"yyyy-mm")</f>
        <v>2022-08</v>
      </c>
      <c r="T145" t="str">
        <f>IF(Table1_1[[#This Row],[Exit_Date]]="","",YEAR(Table1_1[[#This Row],[Exit_Date]]))</f>
        <v/>
      </c>
      <c r="U145" t="str">
        <f>IF(Table1_1[[#This Row],[Exit_Date]]="","",TEXT(Table1_1[[#This Row],[Exit_Date]],"yyyy-mm"))</f>
        <v/>
      </c>
      <c r="V145">
        <f>IF(Table1_1[[#This Row],[Employment_Type]]="Contract",1,0)</f>
        <v>1</v>
      </c>
    </row>
    <row r="146" spans="1:22" x14ac:dyDescent="0.3">
      <c r="A146" t="s">
        <v>397</v>
      </c>
      <c r="B146" t="s">
        <v>398</v>
      </c>
      <c r="C146" t="s">
        <v>14</v>
      </c>
      <c r="D146" s="1">
        <v>30965</v>
      </c>
      <c r="E146" s="1">
        <v>40605</v>
      </c>
      <c r="F146" s="1"/>
      <c r="G146" t="s">
        <v>43</v>
      </c>
      <c r="H146" t="s">
        <v>88</v>
      </c>
      <c r="I146" t="s">
        <v>399</v>
      </c>
      <c r="J146" t="s">
        <v>18</v>
      </c>
      <c r="K146">
        <v>170000</v>
      </c>
      <c r="M146" t="str">
        <f>IF(Table1_1[[#This Row],[Exit_Date]]="","Active","Exited")</f>
        <v>Active</v>
      </c>
      <c r="N146">
        <f>IF(Table1_1[[#This Row],[Employee_Status]]="Exited",1,0)</f>
        <v>0</v>
      </c>
      <c r="O146">
        <f>IF(Table1_1[[#This Row],[Employee_Status]]="Active",1,0)</f>
        <v>1</v>
      </c>
      <c r="P146" s="2">
        <f ca="1">IF(Table1_1[[#This Row],[Employee_Status]]="Active",YEARFRAC(Table1_1[[#This Row],[Join_Date]],TODAY()),YEARFRAC(Table1_1[[#This Row],[Join_Date]],Table1_1[[#This Row],[Exit_Date]]))</f>
        <v>14.930555555555555</v>
      </c>
      <c r="Q146" s="3">
        <f ca="1">YEARFRAC(Table1_1[[#This Row],[Date_of_Birth]],TODAY())</f>
        <v>41.327777777777776</v>
      </c>
      <c r="R146">
        <f>YEAR(Table1_1[[#This Row],[Join_Date]])</f>
        <v>2011</v>
      </c>
      <c r="S146" t="str">
        <f>TEXT(Table1_1[[#This Row],[Join_Date]],"yyyy-mm")</f>
        <v>2011-03</v>
      </c>
      <c r="T146" t="str">
        <f>IF(Table1_1[[#This Row],[Exit_Date]]="","",YEAR(Table1_1[[#This Row],[Exit_Date]]))</f>
        <v/>
      </c>
      <c r="U146" t="str">
        <f>IF(Table1_1[[#This Row],[Exit_Date]]="","",TEXT(Table1_1[[#This Row],[Exit_Date]],"yyyy-mm"))</f>
        <v/>
      </c>
      <c r="V146">
        <f>IF(Table1_1[[#This Row],[Employment_Type]]="Contract",1,0)</f>
        <v>0</v>
      </c>
    </row>
    <row r="147" spans="1:22" x14ac:dyDescent="0.3">
      <c r="A147" t="s">
        <v>400</v>
      </c>
      <c r="B147" t="s">
        <v>401</v>
      </c>
      <c r="C147" t="s">
        <v>21</v>
      </c>
      <c r="D147" s="1">
        <v>35273</v>
      </c>
      <c r="E147" s="1">
        <v>44027</v>
      </c>
      <c r="F147" s="1"/>
      <c r="G147" t="s">
        <v>33</v>
      </c>
      <c r="H147" t="s">
        <v>16</v>
      </c>
      <c r="I147" t="s">
        <v>402</v>
      </c>
      <c r="J147" t="s">
        <v>18</v>
      </c>
      <c r="K147">
        <v>42000</v>
      </c>
      <c r="M147" t="str">
        <f>IF(Table1_1[[#This Row],[Exit_Date]]="","Active","Exited")</f>
        <v>Active</v>
      </c>
      <c r="N147">
        <f>IF(Table1_1[[#This Row],[Employee_Status]]="Exited",1,0)</f>
        <v>0</v>
      </c>
      <c r="O147">
        <f>IF(Table1_1[[#This Row],[Employee_Status]]="Active",1,0)</f>
        <v>1</v>
      </c>
      <c r="P147" s="2">
        <f ca="1">IF(Table1_1[[#This Row],[Employee_Status]]="Active",YEARFRAC(Table1_1[[#This Row],[Join_Date]],TODAY()),YEARFRAC(Table1_1[[#This Row],[Join_Date]],Table1_1[[#This Row],[Exit_Date]]))</f>
        <v>5.5638888888888891</v>
      </c>
      <c r="Q147" s="3">
        <f ca="1">YEARFRAC(Table1_1[[#This Row],[Date_of_Birth]],TODAY())</f>
        <v>29.530555555555555</v>
      </c>
      <c r="R147">
        <f>YEAR(Table1_1[[#This Row],[Join_Date]])</f>
        <v>2020</v>
      </c>
      <c r="S147" t="str">
        <f>TEXT(Table1_1[[#This Row],[Join_Date]],"yyyy-mm")</f>
        <v>2020-07</v>
      </c>
      <c r="T147" t="str">
        <f>IF(Table1_1[[#This Row],[Exit_Date]]="","",YEAR(Table1_1[[#This Row],[Exit_Date]]))</f>
        <v/>
      </c>
      <c r="U147" t="str">
        <f>IF(Table1_1[[#This Row],[Exit_Date]]="","",TEXT(Table1_1[[#This Row],[Exit_Date]],"yyyy-mm"))</f>
        <v/>
      </c>
      <c r="V147">
        <f>IF(Table1_1[[#This Row],[Employment_Type]]="Contract",1,0)</f>
        <v>0</v>
      </c>
    </row>
    <row r="148" spans="1:22" x14ac:dyDescent="0.3">
      <c r="A148" t="s">
        <v>403</v>
      </c>
      <c r="B148" t="s">
        <v>404</v>
      </c>
      <c r="C148" t="s">
        <v>14</v>
      </c>
      <c r="D148" s="1">
        <v>32522</v>
      </c>
      <c r="E148" s="1">
        <v>42495</v>
      </c>
      <c r="F148" s="1"/>
      <c r="G148" t="s">
        <v>28</v>
      </c>
      <c r="H148" t="s">
        <v>29</v>
      </c>
      <c r="I148" t="s">
        <v>405</v>
      </c>
      <c r="J148" t="s">
        <v>18</v>
      </c>
      <c r="K148">
        <v>95000</v>
      </c>
      <c r="M148" t="str">
        <f>IF(Table1_1[[#This Row],[Exit_Date]]="","Active","Exited")</f>
        <v>Active</v>
      </c>
      <c r="N148">
        <f>IF(Table1_1[[#This Row],[Employee_Status]]="Exited",1,0)</f>
        <v>0</v>
      </c>
      <c r="O148">
        <f>IF(Table1_1[[#This Row],[Employee_Status]]="Active",1,0)</f>
        <v>1</v>
      </c>
      <c r="P148" s="2">
        <f ca="1">IF(Table1_1[[#This Row],[Employee_Status]]="Active",YEARFRAC(Table1_1[[#This Row],[Join_Date]],TODAY()),YEARFRAC(Table1_1[[#This Row],[Join_Date]],Table1_1[[#This Row],[Exit_Date]]))</f>
        <v>9.7583333333333329</v>
      </c>
      <c r="Q148" s="3">
        <f ca="1">YEARFRAC(Table1_1[[#This Row],[Date_of_Birth]],TODAY())</f>
        <v>37.06666666666667</v>
      </c>
      <c r="R148">
        <f>YEAR(Table1_1[[#This Row],[Join_Date]])</f>
        <v>2016</v>
      </c>
      <c r="S148" t="str">
        <f>TEXT(Table1_1[[#This Row],[Join_Date]],"yyyy-mm")</f>
        <v>2016-05</v>
      </c>
      <c r="T148" t="str">
        <f>IF(Table1_1[[#This Row],[Exit_Date]]="","",YEAR(Table1_1[[#This Row],[Exit_Date]]))</f>
        <v/>
      </c>
      <c r="U148" t="str">
        <f>IF(Table1_1[[#This Row],[Exit_Date]]="","",TEXT(Table1_1[[#This Row],[Exit_Date]],"yyyy-mm"))</f>
        <v/>
      </c>
      <c r="V148">
        <f>IF(Table1_1[[#This Row],[Employment_Type]]="Contract",1,0)</f>
        <v>0</v>
      </c>
    </row>
    <row r="149" spans="1:22" x14ac:dyDescent="0.3">
      <c r="A149" t="s">
        <v>406</v>
      </c>
      <c r="B149" t="s">
        <v>407</v>
      </c>
      <c r="C149" t="s">
        <v>21</v>
      </c>
      <c r="D149" s="1">
        <v>36285</v>
      </c>
      <c r="E149" s="1">
        <v>44816</v>
      </c>
      <c r="F149" s="1"/>
      <c r="G149" t="s">
        <v>22</v>
      </c>
      <c r="H149" t="s">
        <v>16</v>
      </c>
      <c r="I149" t="s">
        <v>233</v>
      </c>
      <c r="J149" t="s">
        <v>48</v>
      </c>
      <c r="K149">
        <v>31000</v>
      </c>
      <c r="M149" t="str">
        <f>IF(Table1_1[[#This Row],[Exit_Date]]="","Active","Exited")</f>
        <v>Active</v>
      </c>
      <c r="N149">
        <f>IF(Table1_1[[#This Row],[Employee_Status]]="Exited",1,0)</f>
        <v>0</v>
      </c>
      <c r="O149">
        <f>IF(Table1_1[[#This Row],[Employee_Status]]="Active",1,0)</f>
        <v>1</v>
      </c>
      <c r="P149" s="2">
        <f ca="1">IF(Table1_1[[#This Row],[Employee_Status]]="Active",YEARFRAC(Table1_1[[#This Row],[Join_Date]],TODAY()),YEARFRAC(Table1_1[[#This Row],[Join_Date]],Table1_1[[#This Row],[Exit_Date]]))</f>
        <v>3.4055555555555554</v>
      </c>
      <c r="Q149" s="3">
        <f ca="1">YEARFRAC(Table1_1[[#This Row],[Date_of_Birth]],TODAY())</f>
        <v>26.758333333333333</v>
      </c>
      <c r="R149">
        <f>YEAR(Table1_1[[#This Row],[Join_Date]])</f>
        <v>2022</v>
      </c>
      <c r="S149" t="str">
        <f>TEXT(Table1_1[[#This Row],[Join_Date]],"yyyy-mm")</f>
        <v>2022-09</v>
      </c>
      <c r="T149" t="str">
        <f>IF(Table1_1[[#This Row],[Exit_Date]]="","",YEAR(Table1_1[[#This Row],[Exit_Date]]))</f>
        <v/>
      </c>
      <c r="U149" t="str">
        <f>IF(Table1_1[[#This Row],[Exit_Date]]="","",TEXT(Table1_1[[#This Row],[Exit_Date]],"yyyy-mm"))</f>
        <v/>
      </c>
      <c r="V149">
        <f>IF(Table1_1[[#This Row],[Employment_Type]]="Contract",1,0)</f>
        <v>1</v>
      </c>
    </row>
    <row r="150" spans="1:22" x14ac:dyDescent="0.3">
      <c r="A150" t="s">
        <v>408</v>
      </c>
      <c r="B150" t="s">
        <v>409</v>
      </c>
      <c r="C150" t="s">
        <v>14</v>
      </c>
      <c r="D150" s="1">
        <v>31778</v>
      </c>
      <c r="E150" s="1">
        <v>41827</v>
      </c>
      <c r="F150" s="1"/>
      <c r="G150" t="s">
        <v>43</v>
      </c>
      <c r="H150" t="s">
        <v>44</v>
      </c>
      <c r="I150" t="s">
        <v>410</v>
      </c>
      <c r="J150" t="s">
        <v>18</v>
      </c>
      <c r="K150">
        <v>119000</v>
      </c>
      <c r="M150" t="str">
        <f>IF(Table1_1[[#This Row],[Exit_Date]]="","Active","Exited")</f>
        <v>Active</v>
      </c>
      <c r="N150">
        <f>IF(Table1_1[[#This Row],[Employee_Status]]="Exited",1,0)</f>
        <v>0</v>
      </c>
      <c r="O150">
        <f>IF(Table1_1[[#This Row],[Employee_Status]]="Active",1,0)</f>
        <v>1</v>
      </c>
      <c r="P150" s="2">
        <f ca="1">IF(Table1_1[[#This Row],[Employee_Status]]="Active",YEARFRAC(Table1_1[[#This Row],[Join_Date]],TODAY()),YEARFRAC(Table1_1[[#This Row],[Join_Date]],Table1_1[[#This Row],[Exit_Date]]))</f>
        <v>11.58611111111111</v>
      </c>
      <c r="Q150" s="3">
        <f ca="1">YEARFRAC(Table1_1[[#This Row],[Date_of_Birth]],TODAY())</f>
        <v>39.102777777777774</v>
      </c>
      <c r="R150">
        <f>YEAR(Table1_1[[#This Row],[Join_Date]])</f>
        <v>2014</v>
      </c>
      <c r="S150" t="str">
        <f>TEXT(Table1_1[[#This Row],[Join_Date]],"yyyy-mm")</f>
        <v>2014-07</v>
      </c>
      <c r="T150" t="str">
        <f>IF(Table1_1[[#This Row],[Exit_Date]]="","",YEAR(Table1_1[[#This Row],[Exit_Date]]))</f>
        <v/>
      </c>
      <c r="U150" t="str">
        <f>IF(Table1_1[[#This Row],[Exit_Date]]="","",TEXT(Table1_1[[#This Row],[Exit_Date]],"yyyy-mm"))</f>
        <v/>
      </c>
      <c r="V150">
        <f>IF(Table1_1[[#This Row],[Employment_Type]]="Contract",1,0)</f>
        <v>0</v>
      </c>
    </row>
    <row r="151" spans="1:22" x14ac:dyDescent="0.3">
      <c r="A151" t="s">
        <v>411</v>
      </c>
      <c r="B151" t="s">
        <v>412</v>
      </c>
      <c r="C151" t="s">
        <v>21</v>
      </c>
      <c r="D151" s="1">
        <v>34776</v>
      </c>
      <c r="E151" s="1">
        <v>44002</v>
      </c>
      <c r="F151" s="1"/>
      <c r="G151" t="s">
        <v>33</v>
      </c>
      <c r="H151" t="s">
        <v>23</v>
      </c>
      <c r="I151" t="s">
        <v>413</v>
      </c>
      <c r="J151" t="s">
        <v>18</v>
      </c>
      <c r="K151">
        <v>61000</v>
      </c>
      <c r="M151" t="str">
        <f>IF(Table1_1[[#This Row],[Exit_Date]]="","Active","Exited")</f>
        <v>Active</v>
      </c>
      <c r="N151">
        <f>IF(Table1_1[[#This Row],[Employee_Status]]="Exited",1,0)</f>
        <v>0</v>
      </c>
      <c r="O151">
        <f>IF(Table1_1[[#This Row],[Employee_Status]]="Active",1,0)</f>
        <v>1</v>
      </c>
      <c r="P151" s="2">
        <f ca="1">IF(Table1_1[[#This Row],[Employee_Status]]="Active",YEARFRAC(Table1_1[[#This Row],[Join_Date]],TODAY()),YEARFRAC(Table1_1[[#This Row],[Join_Date]],Table1_1[[#This Row],[Exit_Date]]))</f>
        <v>5.6333333333333337</v>
      </c>
      <c r="Q151" s="3">
        <f ca="1">YEARFRAC(Table1_1[[#This Row],[Date_of_Birth]],TODAY())</f>
        <v>30.888888888888889</v>
      </c>
      <c r="R151">
        <f>YEAR(Table1_1[[#This Row],[Join_Date]])</f>
        <v>2020</v>
      </c>
      <c r="S151" t="str">
        <f>TEXT(Table1_1[[#This Row],[Join_Date]],"yyyy-mm")</f>
        <v>2020-06</v>
      </c>
      <c r="T151" t="str">
        <f>IF(Table1_1[[#This Row],[Exit_Date]]="","",YEAR(Table1_1[[#This Row],[Exit_Date]]))</f>
        <v/>
      </c>
      <c r="U151" t="str">
        <f>IF(Table1_1[[#This Row],[Exit_Date]]="","",TEXT(Table1_1[[#This Row],[Exit_Date]],"yyyy-mm"))</f>
        <v/>
      </c>
      <c r="V151">
        <f>IF(Table1_1[[#This Row],[Employment_Type]]="Contract",1,0)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E1A5-BF28-480E-AABA-564302F9BD5B}">
  <dimension ref="A1:I126"/>
  <sheetViews>
    <sheetView zoomScaleNormal="100" workbookViewId="0">
      <selection activeCell="E12" sqref="E12"/>
    </sheetView>
  </sheetViews>
  <sheetFormatPr defaultRowHeight="14.4" x14ac:dyDescent="0.3"/>
  <cols>
    <col min="1" max="1" width="16.44140625" bestFit="1" customWidth="1"/>
    <col min="2" max="2" width="22.21875" bestFit="1" customWidth="1"/>
    <col min="3" max="3" width="29.44140625" bestFit="1" customWidth="1"/>
    <col min="4" max="4" width="22.21875" bestFit="1" customWidth="1"/>
    <col min="5" max="5" width="20.109375" bestFit="1" customWidth="1"/>
    <col min="7" max="7" width="14.44140625" bestFit="1" customWidth="1"/>
    <col min="8" max="8" width="13.5546875" bestFit="1" customWidth="1"/>
    <col min="9" max="9" width="20.109375" bestFit="1" customWidth="1"/>
    <col min="10" max="10" width="14.44140625" bestFit="1" customWidth="1"/>
    <col min="11" max="11" width="7.33203125" bestFit="1" customWidth="1"/>
  </cols>
  <sheetData>
    <row r="1" spans="1:5" x14ac:dyDescent="0.3">
      <c r="A1" t="s">
        <v>429</v>
      </c>
      <c r="B1" t="s">
        <v>430</v>
      </c>
      <c r="C1" t="s">
        <v>431</v>
      </c>
      <c r="D1" t="s">
        <v>424</v>
      </c>
      <c r="E1" s="5" t="s">
        <v>425</v>
      </c>
    </row>
    <row r="2" spans="1:5" x14ac:dyDescent="0.3">
      <c r="A2">
        <v>138</v>
      </c>
      <c r="B2">
        <v>12</v>
      </c>
      <c r="C2">
        <v>150</v>
      </c>
      <c r="D2" s="2">
        <v>7.2662962962962894</v>
      </c>
      <c r="E2" s="4">
        <f>GETPIVOTDATA("Total_Attrition_Count",$A$1)/GETPIVOTDATA("Total_Empolyees",$A$1)</f>
        <v>0.08</v>
      </c>
    </row>
    <row r="10" spans="1:5" x14ac:dyDescent="0.3">
      <c r="A10" s="6" t="s">
        <v>6</v>
      </c>
      <c r="B10" t="s">
        <v>426</v>
      </c>
    </row>
    <row r="11" spans="1:5" x14ac:dyDescent="0.3">
      <c r="A11" s="7" t="s">
        <v>43</v>
      </c>
      <c r="B11">
        <v>0</v>
      </c>
    </row>
    <row r="12" spans="1:5" x14ac:dyDescent="0.3">
      <c r="A12" s="7" t="s">
        <v>33</v>
      </c>
      <c r="B12">
        <v>2</v>
      </c>
    </row>
    <row r="13" spans="1:5" x14ac:dyDescent="0.3">
      <c r="A13" s="7" t="s">
        <v>22</v>
      </c>
      <c r="B13">
        <v>2</v>
      </c>
    </row>
    <row r="14" spans="1:5" x14ac:dyDescent="0.3">
      <c r="A14" s="7" t="s">
        <v>28</v>
      </c>
      <c r="B14">
        <v>2</v>
      </c>
    </row>
    <row r="15" spans="1:5" x14ac:dyDescent="0.3">
      <c r="A15" s="7" t="s">
        <v>15</v>
      </c>
      <c r="B15">
        <v>6</v>
      </c>
    </row>
    <row r="24" spans="1:3" x14ac:dyDescent="0.3">
      <c r="A24" s="6" t="s">
        <v>2</v>
      </c>
      <c r="B24" t="s">
        <v>427</v>
      </c>
      <c r="C24" t="s">
        <v>428</v>
      </c>
    </row>
    <row r="25" spans="1:3" x14ac:dyDescent="0.3">
      <c r="A25" s="7" t="s">
        <v>21</v>
      </c>
      <c r="B25">
        <v>5</v>
      </c>
      <c r="C25">
        <v>74</v>
      </c>
    </row>
    <row r="26" spans="1:3" x14ac:dyDescent="0.3">
      <c r="A26" s="7" t="s">
        <v>14</v>
      </c>
      <c r="B26">
        <v>7</v>
      </c>
      <c r="C26">
        <v>76</v>
      </c>
    </row>
    <row r="36" spans="1:9" x14ac:dyDescent="0.3">
      <c r="A36" s="6" t="s">
        <v>6</v>
      </c>
      <c r="B36" t="s">
        <v>424</v>
      </c>
    </row>
    <row r="37" spans="1:9" x14ac:dyDescent="0.3">
      <c r="A37" s="7" t="s">
        <v>28</v>
      </c>
      <c r="B37" s="2">
        <v>8.1311403508771942</v>
      </c>
    </row>
    <row r="38" spans="1:9" x14ac:dyDescent="0.3">
      <c r="A38" s="7" t="s">
        <v>43</v>
      </c>
      <c r="B38" s="2">
        <v>10.648653198653202</v>
      </c>
    </row>
    <row r="39" spans="1:9" x14ac:dyDescent="0.3">
      <c r="A39" s="7" t="s">
        <v>33</v>
      </c>
      <c r="B39" s="2">
        <v>6.5877777777777764</v>
      </c>
    </row>
    <row r="40" spans="1:9" x14ac:dyDescent="0.3">
      <c r="A40" s="7" t="s">
        <v>22</v>
      </c>
      <c r="B40" s="2">
        <v>4.5191919191919192</v>
      </c>
    </row>
    <row r="41" spans="1:9" x14ac:dyDescent="0.3">
      <c r="A41" s="7" t="s">
        <v>15</v>
      </c>
      <c r="B41" s="2">
        <v>4.5318181818181813</v>
      </c>
    </row>
    <row r="48" spans="1:9" x14ac:dyDescent="0.3">
      <c r="A48" s="6" t="s">
        <v>511</v>
      </c>
      <c r="B48" t="s">
        <v>510</v>
      </c>
      <c r="D48" s="6" t="s">
        <v>511</v>
      </c>
      <c r="E48" t="s">
        <v>520</v>
      </c>
      <c r="H48" s="6" t="s">
        <v>511</v>
      </c>
      <c r="I48" t="s">
        <v>520</v>
      </c>
    </row>
    <row r="49" spans="1:9" x14ac:dyDescent="0.3">
      <c r="A49" s="7" t="s">
        <v>432</v>
      </c>
      <c r="B49">
        <v>2</v>
      </c>
      <c r="D49" s="7"/>
      <c r="E49">
        <v>0</v>
      </c>
      <c r="H49" s="7" t="s">
        <v>498</v>
      </c>
      <c r="I49">
        <v>1</v>
      </c>
    </row>
    <row r="50" spans="1:9" x14ac:dyDescent="0.3">
      <c r="A50" s="7" t="s">
        <v>433</v>
      </c>
      <c r="B50">
        <v>1</v>
      </c>
      <c r="D50" s="7" t="s">
        <v>498</v>
      </c>
      <c r="E50">
        <v>1</v>
      </c>
      <c r="H50" s="7" t="s">
        <v>501</v>
      </c>
      <c r="I50">
        <v>1</v>
      </c>
    </row>
    <row r="51" spans="1:9" x14ac:dyDescent="0.3">
      <c r="A51" s="7" t="s">
        <v>434</v>
      </c>
      <c r="B51">
        <v>1</v>
      </c>
      <c r="D51" s="7" t="s">
        <v>501</v>
      </c>
      <c r="E51">
        <v>1</v>
      </c>
      <c r="H51" s="7" t="s">
        <v>512</v>
      </c>
      <c r="I51">
        <v>1</v>
      </c>
    </row>
    <row r="52" spans="1:9" x14ac:dyDescent="0.3">
      <c r="A52" s="7" t="s">
        <v>435</v>
      </c>
      <c r="B52">
        <v>1</v>
      </c>
      <c r="D52" s="7" t="s">
        <v>512</v>
      </c>
      <c r="E52">
        <v>1</v>
      </c>
      <c r="H52" s="7" t="s">
        <v>507</v>
      </c>
      <c r="I52">
        <v>1</v>
      </c>
    </row>
    <row r="53" spans="1:9" x14ac:dyDescent="0.3">
      <c r="A53" s="7" t="s">
        <v>436</v>
      </c>
      <c r="B53">
        <v>2</v>
      </c>
      <c r="D53" s="7" t="s">
        <v>507</v>
      </c>
      <c r="E53">
        <v>1</v>
      </c>
      <c r="H53" s="7" t="s">
        <v>509</v>
      </c>
      <c r="I53">
        <v>1</v>
      </c>
    </row>
    <row r="54" spans="1:9" x14ac:dyDescent="0.3">
      <c r="A54" s="7" t="s">
        <v>437</v>
      </c>
      <c r="B54">
        <v>1</v>
      </c>
      <c r="D54" s="7" t="s">
        <v>509</v>
      </c>
      <c r="E54">
        <v>1</v>
      </c>
      <c r="H54" s="7" t="s">
        <v>513</v>
      </c>
      <c r="I54">
        <v>1</v>
      </c>
    </row>
    <row r="55" spans="1:9" x14ac:dyDescent="0.3">
      <c r="A55" s="7" t="s">
        <v>438</v>
      </c>
      <c r="B55">
        <v>1</v>
      </c>
      <c r="D55" s="7" t="s">
        <v>513</v>
      </c>
      <c r="E55">
        <v>1</v>
      </c>
      <c r="H55" s="7" t="s">
        <v>514</v>
      </c>
      <c r="I55">
        <v>1</v>
      </c>
    </row>
    <row r="56" spans="1:9" x14ac:dyDescent="0.3">
      <c r="A56" s="7" t="s">
        <v>439</v>
      </c>
      <c r="B56">
        <v>1</v>
      </c>
      <c r="D56" s="7" t="s">
        <v>514</v>
      </c>
      <c r="E56">
        <v>1</v>
      </c>
      <c r="H56" s="7" t="s">
        <v>515</v>
      </c>
      <c r="I56">
        <v>1</v>
      </c>
    </row>
    <row r="57" spans="1:9" x14ac:dyDescent="0.3">
      <c r="A57" s="7" t="s">
        <v>440</v>
      </c>
      <c r="B57">
        <v>2</v>
      </c>
      <c r="D57" s="7" t="s">
        <v>515</v>
      </c>
      <c r="E57">
        <v>1</v>
      </c>
      <c r="H57" s="7" t="s">
        <v>516</v>
      </c>
      <c r="I57">
        <v>1</v>
      </c>
    </row>
    <row r="58" spans="1:9" x14ac:dyDescent="0.3">
      <c r="A58" s="7" t="s">
        <v>441</v>
      </c>
      <c r="B58">
        <v>1</v>
      </c>
      <c r="D58" s="7" t="s">
        <v>516</v>
      </c>
      <c r="E58">
        <v>1</v>
      </c>
      <c r="H58" s="7" t="s">
        <v>517</v>
      </c>
      <c r="I58">
        <v>1</v>
      </c>
    </row>
    <row r="59" spans="1:9" x14ac:dyDescent="0.3">
      <c r="A59" s="7" t="s">
        <v>442</v>
      </c>
      <c r="B59">
        <v>2</v>
      </c>
      <c r="D59" s="7" t="s">
        <v>517</v>
      </c>
      <c r="E59">
        <v>1</v>
      </c>
      <c r="H59" s="7" t="s">
        <v>518</v>
      </c>
      <c r="I59">
        <v>1</v>
      </c>
    </row>
    <row r="60" spans="1:9" x14ac:dyDescent="0.3">
      <c r="A60" s="7" t="s">
        <v>443</v>
      </c>
      <c r="B60">
        <v>1</v>
      </c>
      <c r="D60" s="7" t="s">
        <v>518</v>
      </c>
      <c r="E60">
        <v>1</v>
      </c>
      <c r="H60" s="7" t="s">
        <v>519</v>
      </c>
      <c r="I60">
        <v>1</v>
      </c>
    </row>
    <row r="61" spans="1:9" x14ac:dyDescent="0.3">
      <c r="A61" s="7" t="s">
        <v>444</v>
      </c>
      <c r="B61">
        <v>1</v>
      </c>
      <c r="D61" s="7" t="s">
        <v>519</v>
      </c>
      <c r="E61">
        <v>1</v>
      </c>
    </row>
    <row r="62" spans="1:9" x14ac:dyDescent="0.3">
      <c r="A62" s="7" t="s">
        <v>445</v>
      </c>
      <c r="B62">
        <v>1</v>
      </c>
    </row>
    <row r="63" spans="1:9" x14ac:dyDescent="0.3">
      <c r="A63" s="7" t="s">
        <v>446</v>
      </c>
      <c r="B63">
        <v>2</v>
      </c>
    </row>
    <row r="64" spans="1:9" x14ac:dyDescent="0.3">
      <c r="A64" s="7" t="s">
        <v>447</v>
      </c>
      <c r="B64">
        <v>2</v>
      </c>
    </row>
    <row r="65" spans="1:2" x14ac:dyDescent="0.3">
      <c r="A65" s="7" t="s">
        <v>448</v>
      </c>
      <c r="B65">
        <v>1</v>
      </c>
    </row>
    <row r="66" spans="1:2" x14ac:dyDescent="0.3">
      <c r="A66" s="7" t="s">
        <v>449</v>
      </c>
      <c r="B66">
        <v>1</v>
      </c>
    </row>
    <row r="67" spans="1:2" x14ac:dyDescent="0.3">
      <c r="A67" s="7" t="s">
        <v>450</v>
      </c>
      <c r="B67">
        <v>2</v>
      </c>
    </row>
    <row r="68" spans="1:2" x14ac:dyDescent="0.3">
      <c r="A68" s="7" t="s">
        <v>451</v>
      </c>
      <c r="B68">
        <v>1</v>
      </c>
    </row>
    <row r="69" spans="1:2" x14ac:dyDescent="0.3">
      <c r="A69" s="7" t="s">
        <v>452</v>
      </c>
      <c r="B69">
        <v>3</v>
      </c>
    </row>
    <row r="70" spans="1:2" x14ac:dyDescent="0.3">
      <c r="A70" s="7" t="s">
        <v>453</v>
      </c>
      <c r="B70">
        <v>2</v>
      </c>
    </row>
    <row r="71" spans="1:2" x14ac:dyDescent="0.3">
      <c r="A71" s="7" t="s">
        <v>454</v>
      </c>
      <c r="B71">
        <v>1</v>
      </c>
    </row>
    <row r="72" spans="1:2" x14ac:dyDescent="0.3">
      <c r="A72" s="7" t="s">
        <v>455</v>
      </c>
      <c r="B72">
        <v>2</v>
      </c>
    </row>
    <row r="73" spans="1:2" x14ac:dyDescent="0.3">
      <c r="A73" s="7" t="s">
        <v>456</v>
      </c>
      <c r="B73">
        <v>1</v>
      </c>
    </row>
    <row r="74" spans="1:2" x14ac:dyDescent="0.3">
      <c r="A74" s="7" t="s">
        <v>457</v>
      </c>
      <c r="B74">
        <v>1</v>
      </c>
    </row>
    <row r="75" spans="1:2" x14ac:dyDescent="0.3">
      <c r="A75" s="7" t="s">
        <v>458</v>
      </c>
      <c r="B75">
        <v>1</v>
      </c>
    </row>
    <row r="76" spans="1:2" x14ac:dyDescent="0.3">
      <c r="A76" s="7" t="s">
        <v>459</v>
      </c>
      <c r="B76">
        <v>2</v>
      </c>
    </row>
    <row r="77" spans="1:2" x14ac:dyDescent="0.3">
      <c r="A77" s="7" t="s">
        <v>460</v>
      </c>
      <c r="B77">
        <v>1</v>
      </c>
    </row>
    <row r="78" spans="1:2" x14ac:dyDescent="0.3">
      <c r="A78" s="7" t="s">
        <v>461</v>
      </c>
      <c r="B78">
        <v>2</v>
      </c>
    </row>
    <row r="79" spans="1:2" x14ac:dyDescent="0.3">
      <c r="A79" s="7" t="s">
        <v>462</v>
      </c>
      <c r="B79">
        <v>2</v>
      </c>
    </row>
    <row r="80" spans="1:2" x14ac:dyDescent="0.3">
      <c r="A80" s="7" t="s">
        <v>463</v>
      </c>
      <c r="B80">
        <v>2</v>
      </c>
    </row>
    <row r="81" spans="1:2" x14ac:dyDescent="0.3">
      <c r="A81" s="7" t="s">
        <v>464</v>
      </c>
      <c r="B81">
        <v>2</v>
      </c>
    </row>
    <row r="82" spans="1:2" x14ac:dyDescent="0.3">
      <c r="A82" s="7" t="s">
        <v>465</v>
      </c>
      <c r="B82">
        <v>1</v>
      </c>
    </row>
    <row r="83" spans="1:2" x14ac:dyDescent="0.3">
      <c r="A83" s="7" t="s">
        <v>466</v>
      </c>
      <c r="B83">
        <v>1</v>
      </c>
    </row>
    <row r="84" spans="1:2" x14ac:dyDescent="0.3">
      <c r="A84" s="7" t="s">
        <v>467</v>
      </c>
      <c r="B84">
        <v>1</v>
      </c>
    </row>
    <row r="85" spans="1:2" x14ac:dyDescent="0.3">
      <c r="A85" s="7" t="s">
        <v>468</v>
      </c>
      <c r="B85">
        <v>2</v>
      </c>
    </row>
    <row r="86" spans="1:2" x14ac:dyDescent="0.3">
      <c r="A86" s="7" t="s">
        <v>469</v>
      </c>
      <c r="B86">
        <v>2</v>
      </c>
    </row>
    <row r="87" spans="1:2" x14ac:dyDescent="0.3">
      <c r="A87" s="7" t="s">
        <v>470</v>
      </c>
      <c r="B87">
        <v>2</v>
      </c>
    </row>
    <row r="88" spans="1:2" x14ac:dyDescent="0.3">
      <c r="A88" s="7" t="s">
        <v>471</v>
      </c>
      <c r="B88">
        <v>1</v>
      </c>
    </row>
    <row r="89" spans="1:2" x14ac:dyDescent="0.3">
      <c r="A89" s="7" t="s">
        <v>472</v>
      </c>
      <c r="B89">
        <v>1</v>
      </c>
    </row>
    <row r="90" spans="1:2" x14ac:dyDescent="0.3">
      <c r="A90" s="7" t="s">
        <v>473</v>
      </c>
      <c r="B90">
        <v>1</v>
      </c>
    </row>
    <row r="91" spans="1:2" x14ac:dyDescent="0.3">
      <c r="A91" s="7" t="s">
        <v>474</v>
      </c>
      <c r="B91">
        <v>1</v>
      </c>
    </row>
    <row r="92" spans="1:2" x14ac:dyDescent="0.3">
      <c r="A92" s="7" t="s">
        <v>475</v>
      </c>
      <c r="B92">
        <v>2</v>
      </c>
    </row>
    <row r="93" spans="1:2" x14ac:dyDescent="0.3">
      <c r="A93" s="7" t="s">
        <v>476</v>
      </c>
      <c r="B93">
        <v>2</v>
      </c>
    </row>
    <row r="94" spans="1:2" x14ac:dyDescent="0.3">
      <c r="A94" s="7" t="s">
        <v>477</v>
      </c>
      <c r="B94">
        <v>1</v>
      </c>
    </row>
    <row r="95" spans="1:2" x14ac:dyDescent="0.3">
      <c r="A95" s="7" t="s">
        <v>478</v>
      </c>
      <c r="B95">
        <v>1</v>
      </c>
    </row>
    <row r="96" spans="1:2" x14ac:dyDescent="0.3">
      <c r="A96" s="7" t="s">
        <v>479</v>
      </c>
      <c r="B96">
        <v>2</v>
      </c>
    </row>
    <row r="97" spans="1:2" x14ac:dyDescent="0.3">
      <c r="A97" s="7" t="s">
        <v>480</v>
      </c>
      <c r="B97">
        <v>3</v>
      </c>
    </row>
    <row r="98" spans="1:2" x14ac:dyDescent="0.3">
      <c r="A98" s="7" t="s">
        <v>481</v>
      </c>
      <c r="B98">
        <v>6</v>
      </c>
    </row>
    <row r="99" spans="1:2" x14ac:dyDescent="0.3">
      <c r="A99" s="7" t="s">
        <v>482</v>
      </c>
      <c r="B99">
        <v>3</v>
      </c>
    </row>
    <row r="100" spans="1:2" x14ac:dyDescent="0.3">
      <c r="A100" s="7" t="s">
        <v>483</v>
      </c>
      <c r="B100">
        <v>1</v>
      </c>
    </row>
    <row r="101" spans="1:2" x14ac:dyDescent="0.3">
      <c r="A101" s="7" t="s">
        <v>484</v>
      </c>
      <c r="B101">
        <v>2</v>
      </c>
    </row>
    <row r="102" spans="1:2" x14ac:dyDescent="0.3">
      <c r="A102" s="7" t="s">
        <v>485</v>
      </c>
      <c r="B102">
        <v>1</v>
      </c>
    </row>
    <row r="103" spans="1:2" x14ac:dyDescent="0.3">
      <c r="A103" s="7" t="s">
        <v>486</v>
      </c>
      <c r="B103">
        <v>1</v>
      </c>
    </row>
    <row r="104" spans="1:2" x14ac:dyDescent="0.3">
      <c r="A104" s="7" t="s">
        <v>487</v>
      </c>
      <c r="B104">
        <v>4</v>
      </c>
    </row>
    <row r="105" spans="1:2" x14ac:dyDescent="0.3">
      <c r="A105" s="7" t="s">
        <v>488</v>
      </c>
      <c r="B105">
        <v>1</v>
      </c>
    </row>
    <row r="106" spans="1:2" x14ac:dyDescent="0.3">
      <c r="A106" s="7" t="s">
        <v>489</v>
      </c>
      <c r="B106">
        <v>1</v>
      </c>
    </row>
    <row r="107" spans="1:2" x14ac:dyDescent="0.3">
      <c r="A107" s="7" t="s">
        <v>490</v>
      </c>
      <c r="B107">
        <v>2</v>
      </c>
    </row>
    <row r="108" spans="1:2" x14ac:dyDescent="0.3">
      <c r="A108" s="7" t="s">
        <v>491</v>
      </c>
      <c r="B108">
        <v>2</v>
      </c>
    </row>
    <row r="109" spans="1:2" x14ac:dyDescent="0.3">
      <c r="A109" s="7" t="s">
        <v>492</v>
      </c>
      <c r="B109">
        <v>6</v>
      </c>
    </row>
    <row r="110" spans="1:2" x14ac:dyDescent="0.3">
      <c r="A110" s="7" t="s">
        <v>493</v>
      </c>
      <c r="B110">
        <v>6</v>
      </c>
    </row>
    <row r="111" spans="1:2" x14ac:dyDescent="0.3">
      <c r="A111" s="7" t="s">
        <v>494</v>
      </c>
      <c r="B111">
        <v>3</v>
      </c>
    </row>
    <row r="112" spans="1:2" x14ac:dyDescent="0.3">
      <c r="A112" s="7" t="s">
        <v>495</v>
      </c>
      <c r="B112">
        <v>3</v>
      </c>
    </row>
    <row r="113" spans="1:2" x14ac:dyDescent="0.3">
      <c r="A113" s="7" t="s">
        <v>496</v>
      </c>
      <c r="B113">
        <v>2</v>
      </c>
    </row>
    <row r="114" spans="1:2" x14ac:dyDescent="0.3">
      <c r="A114" s="7" t="s">
        <v>497</v>
      </c>
      <c r="B114">
        <v>1</v>
      </c>
    </row>
    <row r="115" spans="1:2" x14ac:dyDescent="0.3">
      <c r="A115" s="7" t="s">
        <v>498</v>
      </c>
      <c r="B115">
        <v>1</v>
      </c>
    </row>
    <row r="116" spans="1:2" x14ac:dyDescent="0.3">
      <c r="A116" s="7" t="s">
        <v>499</v>
      </c>
      <c r="B116">
        <v>2</v>
      </c>
    </row>
    <row r="117" spans="1:2" x14ac:dyDescent="0.3">
      <c r="A117" s="7" t="s">
        <v>500</v>
      </c>
      <c r="B117">
        <v>4</v>
      </c>
    </row>
    <row r="118" spans="1:2" x14ac:dyDescent="0.3">
      <c r="A118" s="7" t="s">
        <v>501</v>
      </c>
      <c r="B118">
        <v>2</v>
      </c>
    </row>
    <row r="119" spans="1:2" x14ac:dyDescent="0.3">
      <c r="A119" s="7" t="s">
        <v>502</v>
      </c>
      <c r="B119">
        <v>4</v>
      </c>
    </row>
    <row r="120" spans="1:2" x14ac:dyDescent="0.3">
      <c r="A120" s="7" t="s">
        <v>503</v>
      </c>
      <c r="B120">
        <v>2</v>
      </c>
    </row>
    <row r="121" spans="1:2" x14ac:dyDescent="0.3">
      <c r="A121" s="7" t="s">
        <v>504</v>
      </c>
      <c r="B121">
        <v>6</v>
      </c>
    </row>
    <row r="122" spans="1:2" x14ac:dyDescent="0.3">
      <c r="A122" s="7" t="s">
        <v>505</v>
      </c>
      <c r="B122">
        <v>3</v>
      </c>
    </row>
    <row r="123" spans="1:2" x14ac:dyDescent="0.3">
      <c r="A123" s="7" t="s">
        <v>506</v>
      </c>
      <c r="B123">
        <v>1</v>
      </c>
    </row>
    <row r="124" spans="1:2" x14ac:dyDescent="0.3">
      <c r="A124" s="7" t="s">
        <v>507</v>
      </c>
      <c r="B124">
        <v>2</v>
      </c>
    </row>
    <row r="125" spans="1:2" x14ac:dyDescent="0.3">
      <c r="A125" s="7" t="s">
        <v>508</v>
      </c>
      <c r="B125">
        <v>4</v>
      </c>
    </row>
    <row r="126" spans="1:2" x14ac:dyDescent="0.3">
      <c r="A126" s="7" t="s">
        <v>509</v>
      </c>
      <c r="B1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22CD-CB85-4B7D-8D03-ED46CB5673C0}">
  <dimension ref="A1:D2"/>
  <sheetViews>
    <sheetView workbookViewId="0">
      <selection activeCell="G28" sqref="G28"/>
    </sheetView>
  </sheetViews>
  <sheetFormatPr defaultRowHeight="14.4" x14ac:dyDescent="0.3"/>
  <cols>
    <col min="1" max="1" width="14.5546875" bestFit="1" customWidth="1"/>
    <col min="2" max="2" width="15.33203125" bestFit="1" customWidth="1"/>
    <col min="3" max="3" width="12.44140625" bestFit="1" customWidth="1"/>
    <col min="4" max="4" width="12" bestFit="1" customWidth="1"/>
  </cols>
  <sheetData>
    <row r="1" spans="1:4" x14ac:dyDescent="0.3">
      <c r="A1">
        <f>COUNTA(Table1_1[Employee_ID])</f>
        <v>150</v>
      </c>
      <c r="B1">
        <f>SUM(Table1_1[Active_Employee_Flag])</f>
        <v>138</v>
      </c>
      <c r="C1">
        <f>SUM(Table1_1[Attrition_Flag])</f>
        <v>12</v>
      </c>
      <c r="D1" s="4">
        <f>C1/A1</f>
        <v>0.08</v>
      </c>
    </row>
    <row r="2" spans="1:4" x14ac:dyDescent="0.3">
      <c r="A2" s="13" t="s">
        <v>521</v>
      </c>
      <c r="B2" s="13" t="s">
        <v>522</v>
      </c>
      <c r="C2" s="13" t="s">
        <v>523</v>
      </c>
      <c r="D2" s="13" t="s">
        <v>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E25F-5CC8-474B-900F-D47211690158}">
  <dimension ref="A1:T28"/>
  <sheetViews>
    <sheetView showGridLines="0" showRowColHeaders="0" tabSelected="1" zoomScale="85" zoomScaleNormal="85" workbookViewId="0">
      <selection activeCell="S30" sqref="S30"/>
    </sheetView>
  </sheetViews>
  <sheetFormatPr defaultRowHeight="14.4" x14ac:dyDescent="0.3"/>
  <cols>
    <col min="1" max="1" width="22.88671875" customWidth="1"/>
    <col min="2" max="2" width="6.77734375" customWidth="1"/>
    <col min="3" max="3" width="22.88671875" customWidth="1"/>
    <col min="4" max="4" width="6.77734375" customWidth="1"/>
    <col min="5" max="5" width="22.88671875" customWidth="1"/>
    <col min="6" max="6" width="6.77734375" customWidth="1"/>
    <col min="7" max="7" width="22.88671875" customWidth="1"/>
    <col min="19" max="19" width="9.109375" bestFit="1" customWidth="1"/>
  </cols>
  <sheetData>
    <row r="1" spans="1:20" ht="33.6" customHeight="1" x14ac:dyDescent="0.3">
      <c r="S1" s="10"/>
      <c r="T1" s="14" t="s">
        <v>525</v>
      </c>
    </row>
    <row r="2" spans="1:20" ht="28.2" customHeight="1" x14ac:dyDescent="0.3">
      <c r="A2" s="8"/>
      <c r="C2" s="8"/>
      <c r="E2" s="8"/>
      <c r="G2" s="8"/>
    </row>
    <row r="3" spans="1:20" ht="10.8" customHeight="1" x14ac:dyDescent="0.3"/>
    <row r="6" spans="1:20" ht="28.8" x14ac:dyDescent="0.3">
      <c r="A6" s="9"/>
    </row>
    <row r="14" spans="1:20" ht="28.8" x14ac:dyDescent="0.3">
      <c r="E14" s="11"/>
      <c r="G14" s="12"/>
    </row>
    <row r="24" spans="11:11" ht="18" x14ac:dyDescent="0.35">
      <c r="K24" s="15" t="s">
        <v>526</v>
      </c>
    </row>
    <row r="25" spans="11:11" ht="15.6" x14ac:dyDescent="0.3">
      <c r="K25" s="16" t="s">
        <v>527</v>
      </c>
    </row>
    <row r="26" spans="11:11" ht="15.6" x14ac:dyDescent="0.3">
      <c r="K26" s="16" t="s">
        <v>528</v>
      </c>
    </row>
    <row r="27" spans="11:11" ht="15.6" x14ac:dyDescent="0.3">
      <c r="K27" s="16" t="s">
        <v>529</v>
      </c>
    </row>
    <row r="28" spans="11:11" ht="15.6" x14ac:dyDescent="0.3">
      <c r="K28" s="16" t="s">
        <v>530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6A9DDC-4A41-4AC4-935E-8BCEB63480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HR_Pivot_Backend</vt:lpstr>
      <vt:lpstr>Dashborad_Source</vt:lpstr>
      <vt:lpstr>Analysis_Dashboard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adhithya</dc:creator>
  <cp:lastModifiedBy>bharath adhithya</cp:lastModifiedBy>
  <dcterms:created xsi:type="dcterms:W3CDTF">2026-02-06T09:43:46Z</dcterms:created>
  <dcterms:modified xsi:type="dcterms:W3CDTF">2026-02-08T05:43:48Z</dcterms:modified>
</cp:coreProperties>
</file>